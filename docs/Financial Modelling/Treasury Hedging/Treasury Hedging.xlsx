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ha/Desktop/Projects/Porfolio/patro.isha.github.io/docs/Financial Modelling/"/>
    </mc:Choice>
  </mc:AlternateContent>
  <xr:revisionPtr revIDLastSave="0" documentId="13_ncr:1_{969276A9-2D37-1548-863B-B6DD89593E8C}" xr6:coauthVersionLast="47" xr6:coauthVersionMax="47" xr10:uidLastSave="{00000000-0000-0000-0000-000000000000}"/>
  <bookViews>
    <workbookView xWindow="0" yWindow="760" windowWidth="30240" windowHeight="17380" activeTab="1" xr2:uid="{0C1BA249-9427-4A86-9BEF-905F04E92652}"/>
  </bookViews>
  <sheets>
    <sheet name="Sheet1" sheetId="1" r:id="rId1"/>
    <sheet name="Solution" sheetId="4" r:id="rId2"/>
  </sheets>
  <definedNames>
    <definedName name="SpreadsheetBuilder_1" hidden="1">Sheet1!#REF!</definedName>
    <definedName name="SpreadsheetBuilder_2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4" l="1" a="1"/>
  <c r="N347" i="4"/>
  <c r="M25" i="4"/>
  <c r="M26" i="4" s="1"/>
  <c r="N20" i="4"/>
  <c r="J523" i="4"/>
  <c r="I523" i="4"/>
  <c r="K523" i="4" s="1"/>
  <c r="H523" i="4"/>
  <c r="J522" i="4"/>
  <c r="I522" i="4"/>
  <c r="K522" i="4" s="1"/>
  <c r="H522" i="4"/>
  <c r="J521" i="4"/>
  <c r="I521" i="4"/>
  <c r="K521" i="4" s="1"/>
  <c r="H521" i="4"/>
  <c r="J520" i="4"/>
  <c r="I520" i="4"/>
  <c r="K520" i="4" s="1"/>
  <c r="H520" i="4"/>
  <c r="J519" i="4"/>
  <c r="I519" i="4"/>
  <c r="K519" i="4" s="1"/>
  <c r="H519" i="4"/>
  <c r="J518" i="4"/>
  <c r="I518" i="4"/>
  <c r="K518" i="4" s="1"/>
  <c r="H518" i="4"/>
  <c r="J517" i="4"/>
  <c r="I517" i="4"/>
  <c r="K517" i="4" s="1"/>
  <c r="H517" i="4"/>
  <c r="J516" i="4"/>
  <c r="I516" i="4"/>
  <c r="K516" i="4" s="1"/>
  <c r="H516" i="4"/>
  <c r="J515" i="4"/>
  <c r="I515" i="4"/>
  <c r="K515" i="4" s="1"/>
  <c r="H515" i="4"/>
  <c r="J514" i="4"/>
  <c r="I514" i="4"/>
  <c r="K514" i="4" s="1"/>
  <c r="H514" i="4"/>
  <c r="J513" i="4"/>
  <c r="I513" i="4"/>
  <c r="K513" i="4" s="1"/>
  <c r="H513" i="4"/>
  <c r="J512" i="4"/>
  <c r="I512" i="4"/>
  <c r="K512" i="4" s="1"/>
  <c r="H512" i="4"/>
  <c r="J511" i="4"/>
  <c r="I511" i="4"/>
  <c r="K511" i="4" s="1"/>
  <c r="H511" i="4"/>
  <c r="J510" i="4"/>
  <c r="I510" i="4"/>
  <c r="K510" i="4" s="1"/>
  <c r="H510" i="4"/>
  <c r="J509" i="4"/>
  <c r="I509" i="4"/>
  <c r="K509" i="4" s="1"/>
  <c r="H509" i="4"/>
  <c r="J508" i="4"/>
  <c r="I508" i="4"/>
  <c r="K508" i="4" s="1"/>
  <c r="H508" i="4"/>
  <c r="J507" i="4"/>
  <c r="I507" i="4"/>
  <c r="K507" i="4" s="1"/>
  <c r="H507" i="4"/>
  <c r="J506" i="4"/>
  <c r="I506" i="4"/>
  <c r="K506" i="4" s="1"/>
  <c r="H506" i="4"/>
  <c r="J505" i="4"/>
  <c r="I505" i="4"/>
  <c r="K505" i="4" s="1"/>
  <c r="H505" i="4"/>
  <c r="J504" i="4"/>
  <c r="I504" i="4"/>
  <c r="K504" i="4" s="1"/>
  <c r="H504" i="4"/>
  <c r="J503" i="4"/>
  <c r="I503" i="4"/>
  <c r="K503" i="4" s="1"/>
  <c r="H503" i="4"/>
  <c r="J502" i="4"/>
  <c r="I502" i="4"/>
  <c r="K502" i="4" s="1"/>
  <c r="H502" i="4"/>
  <c r="J501" i="4"/>
  <c r="I501" i="4"/>
  <c r="K501" i="4" s="1"/>
  <c r="H501" i="4"/>
  <c r="J500" i="4"/>
  <c r="I500" i="4"/>
  <c r="K500" i="4" s="1"/>
  <c r="H500" i="4"/>
  <c r="J499" i="4"/>
  <c r="I499" i="4"/>
  <c r="K499" i="4" s="1"/>
  <c r="H499" i="4"/>
  <c r="J498" i="4"/>
  <c r="I498" i="4"/>
  <c r="K498" i="4" s="1"/>
  <c r="H498" i="4"/>
  <c r="J497" i="4"/>
  <c r="I497" i="4"/>
  <c r="K497" i="4" s="1"/>
  <c r="H497" i="4"/>
  <c r="J496" i="4"/>
  <c r="I496" i="4"/>
  <c r="K496" i="4" s="1"/>
  <c r="H496" i="4"/>
  <c r="J495" i="4"/>
  <c r="I495" i="4"/>
  <c r="K495" i="4" s="1"/>
  <c r="H495" i="4"/>
  <c r="J494" i="4"/>
  <c r="I494" i="4"/>
  <c r="K494" i="4" s="1"/>
  <c r="H494" i="4"/>
  <c r="J493" i="4"/>
  <c r="I493" i="4"/>
  <c r="K493" i="4" s="1"/>
  <c r="H493" i="4"/>
  <c r="J492" i="4"/>
  <c r="I492" i="4"/>
  <c r="K492" i="4" s="1"/>
  <c r="H492" i="4"/>
  <c r="J491" i="4"/>
  <c r="I491" i="4"/>
  <c r="K491" i="4" s="1"/>
  <c r="H491" i="4"/>
  <c r="J490" i="4"/>
  <c r="I490" i="4"/>
  <c r="K490" i="4" s="1"/>
  <c r="H490" i="4"/>
  <c r="J489" i="4"/>
  <c r="I489" i="4"/>
  <c r="K489" i="4" s="1"/>
  <c r="H489" i="4"/>
  <c r="J488" i="4"/>
  <c r="I488" i="4"/>
  <c r="K488" i="4" s="1"/>
  <c r="H488" i="4"/>
  <c r="J487" i="4"/>
  <c r="I487" i="4"/>
  <c r="K487" i="4" s="1"/>
  <c r="H487" i="4"/>
  <c r="J486" i="4"/>
  <c r="I486" i="4"/>
  <c r="K486" i="4" s="1"/>
  <c r="H486" i="4"/>
  <c r="J485" i="4"/>
  <c r="I485" i="4"/>
  <c r="K485" i="4" s="1"/>
  <c r="H485" i="4"/>
  <c r="J484" i="4"/>
  <c r="I484" i="4"/>
  <c r="K484" i="4" s="1"/>
  <c r="H484" i="4"/>
  <c r="J483" i="4"/>
  <c r="I483" i="4"/>
  <c r="K483" i="4" s="1"/>
  <c r="H483" i="4"/>
  <c r="J482" i="4"/>
  <c r="I482" i="4"/>
  <c r="K482" i="4" s="1"/>
  <c r="H482" i="4"/>
  <c r="J481" i="4"/>
  <c r="I481" i="4"/>
  <c r="K481" i="4" s="1"/>
  <c r="H481" i="4"/>
  <c r="J480" i="4"/>
  <c r="I480" i="4"/>
  <c r="K480" i="4" s="1"/>
  <c r="H480" i="4"/>
  <c r="J479" i="4"/>
  <c r="I479" i="4"/>
  <c r="K479" i="4" s="1"/>
  <c r="H479" i="4"/>
  <c r="J478" i="4"/>
  <c r="I478" i="4"/>
  <c r="K478" i="4" s="1"/>
  <c r="H478" i="4"/>
  <c r="J477" i="4"/>
  <c r="I477" i="4"/>
  <c r="K477" i="4" s="1"/>
  <c r="H477" i="4"/>
  <c r="J476" i="4"/>
  <c r="I476" i="4"/>
  <c r="K476" i="4" s="1"/>
  <c r="H476" i="4"/>
  <c r="J475" i="4"/>
  <c r="I475" i="4"/>
  <c r="K475" i="4" s="1"/>
  <c r="H475" i="4"/>
  <c r="J474" i="4"/>
  <c r="I474" i="4"/>
  <c r="K474" i="4" s="1"/>
  <c r="H474" i="4"/>
  <c r="J473" i="4"/>
  <c r="I473" i="4"/>
  <c r="K473" i="4" s="1"/>
  <c r="H473" i="4"/>
  <c r="J472" i="4"/>
  <c r="I472" i="4"/>
  <c r="K472" i="4" s="1"/>
  <c r="H472" i="4"/>
  <c r="J471" i="4"/>
  <c r="I471" i="4"/>
  <c r="K471" i="4" s="1"/>
  <c r="H471" i="4"/>
  <c r="J470" i="4"/>
  <c r="I470" i="4"/>
  <c r="K470" i="4" s="1"/>
  <c r="H470" i="4"/>
  <c r="J469" i="4"/>
  <c r="I469" i="4"/>
  <c r="K469" i="4" s="1"/>
  <c r="H469" i="4"/>
  <c r="J468" i="4"/>
  <c r="I468" i="4"/>
  <c r="K468" i="4" s="1"/>
  <c r="H468" i="4"/>
  <c r="J467" i="4"/>
  <c r="I467" i="4"/>
  <c r="K467" i="4" s="1"/>
  <c r="H467" i="4"/>
  <c r="J466" i="4"/>
  <c r="I466" i="4"/>
  <c r="K466" i="4" s="1"/>
  <c r="H466" i="4"/>
  <c r="J465" i="4"/>
  <c r="I465" i="4"/>
  <c r="K465" i="4" s="1"/>
  <c r="H465" i="4"/>
  <c r="J464" i="4"/>
  <c r="I464" i="4"/>
  <c r="K464" i="4" s="1"/>
  <c r="H464" i="4"/>
  <c r="J463" i="4"/>
  <c r="I463" i="4"/>
  <c r="K463" i="4" s="1"/>
  <c r="H463" i="4"/>
  <c r="J462" i="4"/>
  <c r="I462" i="4"/>
  <c r="K462" i="4" s="1"/>
  <c r="H462" i="4"/>
  <c r="J461" i="4"/>
  <c r="I461" i="4"/>
  <c r="H461" i="4"/>
  <c r="J460" i="4"/>
  <c r="I460" i="4"/>
  <c r="K460" i="4" s="1"/>
  <c r="H460" i="4"/>
  <c r="J459" i="4"/>
  <c r="I459" i="4"/>
  <c r="K459" i="4" s="1"/>
  <c r="H459" i="4"/>
  <c r="J458" i="4"/>
  <c r="I458" i="4"/>
  <c r="K458" i="4" s="1"/>
  <c r="H458" i="4"/>
  <c r="J457" i="4"/>
  <c r="I457" i="4"/>
  <c r="K457" i="4" s="1"/>
  <c r="H457" i="4"/>
  <c r="J456" i="4"/>
  <c r="I456" i="4"/>
  <c r="K456" i="4" s="1"/>
  <c r="H456" i="4"/>
  <c r="J455" i="4"/>
  <c r="I455" i="4"/>
  <c r="K455" i="4" s="1"/>
  <c r="H455" i="4"/>
  <c r="J454" i="4"/>
  <c r="I454" i="4"/>
  <c r="K454" i="4" s="1"/>
  <c r="H454" i="4"/>
  <c r="J453" i="4"/>
  <c r="I453" i="4"/>
  <c r="K453" i="4" s="1"/>
  <c r="H453" i="4"/>
  <c r="J452" i="4"/>
  <c r="I452" i="4"/>
  <c r="K452" i="4" s="1"/>
  <c r="H452" i="4"/>
  <c r="J451" i="4"/>
  <c r="I451" i="4"/>
  <c r="K451" i="4" s="1"/>
  <c r="H451" i="4"/>
  <c r="J450" i="4"/>
  <c r="I450" i="4"/>
  <c r="K450" i="4" s="1"/>
  <c r="H450" i="4"/>
  <c r="J449" i="4"/>
  <c r="I449" i="4"/>
  <c r="K449" i="4" s="1"/>
  <c r="H449" i="4"/>
  <c r="J448" i="4"/>
  <c r="I448" i="4"/>
  <c r="K448" i="4" s="1"/>
  <c r="H448" i="4"/>
  <c r="J447" i="4"/>
  <c r="I447" i="4"/>
  <c r="K447" i="4" s="1"/>
  <c r="H447" i="4"/>
  <c r="J446" i="4"/>
  <c r="I446" i="4"/>
  <c r="K446" i="4" s="1"/>
  <c r="H446" i="4"/>
  <c r="J445" i="4"/>
  <c r="I445" i="4"/>
  <c r="K445" i="4" s="1"/>
  <c r="H445" i="4"/>
  <c r="J444" i="4"/>
  <c r="I444" i="4"/>
  <c r="K444" i="4" s="1"/>
  <c r="H444" i="4"/>
  <c r="J443" i="4"/>
  <c r="I443" i="4"/>
  <c r="K443" i="4" s="1"/>
  <c r="H443" i="4"/>
  <c r="J442" i="4"/>
  <c r="I442" i="4"/>
  <c r="K442" i="4" s="1"/>
  <c r="H442" i="4"/>
  <c r="J441" i="4"/>
  <c r="I441" i="4"/>
  <c r="K441" i="4" s="1"/>
  <c r="H441" i="4"/>
  <c r="J440" i="4"/>
  <c r="I440" i="4"/>
  <c r="K440" i="4" s="1"/>
  <c r="H440" i="4"/>
  <c r="J439" i="4"/>
  <c r="I439" i="4"/>
  <c r="K439" i="4" s="1"/>
  <c r="H439" i="4"/>
  <c r="J438" i="4"/>
  <c r="I438" i="4"/>
  <c r="K438" i="4" s="1"/>
  <c r="H438" i="4"/>
  <c r="J437" i="4"/>
  <c r="I437" i="4"/>
  <c r="K437" i="4" s="1"/>
  <c r="H437" i="4"/>
  <c r="J436" i="4"/>
  <c r="I436" i="4"/>
  <c r="K436" i="4" s="1"/>
  <c r="H436" i="4"/>
  <c r="J435" i="4"/>
  <c r="I435" i="4"/>
  <c r="K435" i="4" s="1"/>
  <c r="H435" i="4"/>
  <c r="J434" i="4"/>
  <c r="I434" i="4"/>
  <c r="K434" i="4" s="1"/>
  <c r="H434" i="4"/>
  <c r="J433" i="4"/>
  <c r="I433" i="4"/>
  <c r="K433" i="4" s="1"/>
  <c r="H433" i="4"/>
  <c r="J432" i="4"/>
  <c r="I432" i="4"/>
  <c r="K432" i="4" s="1"/>
  <c r="H432" i="4"/>
  <c r="J431" i="4"/>
  <c r="I431" i="4"/>
  <c r="K431" i="4" s="1"/>
  <c r="H431" i="4"/>
  <c r="J430" i="4"/>
  <c r="I430" i="4"/>
  <c r="K430" i="4" s="1"/>
  <c r="H430" i="4"/>
  <c r="J429" i="4"/>
  <c r="I429" i="4"/>
  <c r="K429" i="4" s="1"/>
  <c r="H429" i="4"/>
  <c r="J428" i="4"/>
  <c r="I428" i="4"/>
  <c r="K428" i="4" s="1"/>
  <c r="H428" i="4"/>
  <c r="J427" i="4"/>
  <c r="I427" i="4"/>
  <c r="K427" i="4" s="1"/>
  <c r="H427" i="4"/>
  <c r="J426" i="4"/>
  <c r="I426" i="4"/>
  <c r="K426" i="4" s="1"/>
  <c r="H426" i="4"/>
  <c r="J425" i="4"/>
  <c r="I425" i="4"/>
  <c r="K425" i="4" s="1"/>
  <c r="H425" i="4"/>
  <c r="J424" i="4"/>
  <c r="I424" i="4"/>
  <c r="K424" i="4" s="1"/>
  <c r="H424" i="4"/>
  <c r="J423" i="4"/>
  <c r="I423" i="4"/>
  <c r="K423" i="4" s="1"/>
  <c r="H423" i="4"/>
  <c r="J422" i="4"/>
  <c r="I422" i="4"/>
  <c r="K422" i="4" s="1"/>
  <c r="H422" i="4"/>
  <c r="J421" i="4"/>
  <c r="I421" i="4"/>
  <c r="K421" i="4" s="1"/>
  <c r="H421" i="4"/>
  <c r="J420" i="4"/>
  <c r="I420" i="4"/>
  <c r="K420" i="4" s="1"/>
  <c r="H420" i="4"/>
  <c r="J419" i="4"/>
  <c r="I419" i="4"/>
  <c r="K419" i="4" s="1"/>
  <c r="H419" i="4"/>
  <c r="J418" i="4"/>
  <c r="I418" i="4"/>
  <c r="K418" i="4" s="1"/>
  <c r="H418" i="4"/>
  <c r="J417" i="4"/>
  <c r="I417" i="4"/>
  <c r="K417" i="4" s="1"/>
  <c r="H417" i="4"/>
  <c r="J416" i="4"/>
  <c r="I416" i="4"/>
  <c r="K416" i="4" s="1"/>
  <c r="H416" i="4"/>
  <c r="J415" i="4"/>
  <c r="I415" i="4"/>
  <c r="K415" i="4" s="1"/>
  <c r="H415" i="4"/>
  <c r="J414" i="4"/>
  <c r="I414" i="4"/>
  <c r="K414" i="4" s="1"/>
  <c r="H414" i="4"/>
  <c r="J413" i="4"/>
  <c r="I413" i="4"/>
  <c r="K413" i="4" s="1"/>
  <c r="H413" i="4"/>
  <c r="J412" i="4"/>
  <c r="I412" i="4"/>
  <c r="K412" i="4" s="1"/>
  <c r="H412" i="4"/>
  <c r="J411" i="4"/>
  <c r="I411" i="4"/>
  <c r="K411" i="4" s="1"/>
  <c r="H411" i="4"/>
  <c r="J410" i="4"/>
  <c r="I410" i="4"/>
  <c r="K410" i="4" s="1"/>
  <c r="H410" i="4"/>
  <c r="J409" i="4"/>
  <c r="I409" i="4"/>
  <c r="K409" i="4" s="1"/>
  <c r="H409" i="4"/>
  <c r="J408" i="4"/>
  <c r="I408" i="4"/>
  <c r="K408" i="4" s="1"/>
  <c r="H408" i="4"/>
  <c r="J407" i="4"/>
  <c r="I407" i="4"/>
  <c r="K407" i="4" s="1"/>
  <c r="H407" i="4"/>
  <c r="J406" i="4"/>
  <c r="I406" i="4"/>
  <c r="K406" i="4" s="1"/>
  <c r="H406" i="4"/>
  <c r="J405" i="4"/>
  <c r="I405" i="4"/>
  <c r="K405" i="4" s="1"/>
  <c r="H405" i="4"/>
  <c r="J404" i="4"/>
  <c r="I404" i="4"/>
  <c r="K404" i="4" s="1"/>
  <c r="H404" i="4"/>
  <c r="J403" i="4"/>
  <c r="I403" i="4"/>
  <c r="K403" i="4" s="1"/>
  <c r="H403" i="4"/>
  <c r="J402" i="4"/>
  <c r="I402" i="4"/>
  <c r="K402" i="4" s="1"/>
  <c r="H402" i="4"/>
  <c r="J401" i="4"/>
  <c r="I401" i="4"/>
  <c r="K401" i="4" s="1"/>
  <c r="H401" i="4"/>
  <c r="J400" i="4"/>
  <c r="I400" i="4"/>
  <c r="K400" i="4" s="1"/>
  <c r="H400" i="4"/>
  <c r="J399" i="4"/>
  <c r="I399" i="4"/>
  <c r="K399" i="4" s="1"/>
  <c r="H399" i="4"/>
  <c r="J398" i="4"/>
  <c r="I398" i="4"/>
  <c r="K398" i="4" s="1"/>
  <c r="H398" i="4"/>
  <c r="J397" i="4"/>
  <c r="I397" i="4"/>
  <c r="K397" i="4" s="1"/>
  <c r="H397" i="4"/>
  <c r="J396" i="4"/>
  <c r="I396" i="4"/>
  <c r="K396" i="4" s="1"/>
  <c r="H396" i="4"/>
  <c r="J395" i="4"/>
  <c r="I395" i="4"/>
  <c r="K395" i="4" s="1"/>
  <c r="H395" i="4"/>
  <c r="J394" i="4"/>
  <c r="I394" i="4"/>
  <c r="K394" i="4" s="1"/>
  <c r="H394" i="4"/>
  <c r="J393" i="4"/>
  <c r="I393" i="4"/>
  <c r="K393" i="4" s="1"/>
  <c r="H393" i="4"/>
  <c r="J392" i="4"/>
  <c r="I392" i="4"/>
  <c r="K392" i="4" s="1"/>
  <c r="H392" i="4"/>
  <c r="J391" i="4"/>
  <c r="I391" i="4"/>
  <c r="K391" i="4" s="1"/>
  <c r="H391" i="4"/>
  <c r="J390" i="4"/>
  <c r="I390" i="4"/>
  <c r="K390" i="4" s="1"/>
  <c r="H390" i="4"/>
  <c r="J389" i="4"/>
  <c r="I389" i="4"/>
  <c r="K389" i="4" s="1"/>
  <c r="H389" i="4"/>
  <c r="J388" i="4"/>
  <c r="I388" i="4"/>
  <c r="K388" i="4" s="1"/>
  <c r="H388" i="4"/>
  <c r="J387" i="4"/>
  <c r="I387" i="4"/>
  <c r="K387" i="4" s="1"/>
  <c r="H387" i="4"/>
  <c r="J386" i="4"/>
  <c r="I386" i="4"/>
  <c r="K386" i="4" s="1"/>
  <c r="H386" i="4"/>
  <c r="J385" i="4"/>
  <c r="I385" i="4"/>
  <c r="K385" i="4" s="1"/>
  <c r="H385" i="4"/>
  <c r="J384" i="4"/>
  <c r="I384" i="4"/>
  <c r="K384" i="4" s="1"/>
  <c r="H384" i="4"/>
  <c r="J383" i="4"/>
  <c r="I383" i="4"/>
  <c r="K383" i="4" s="1"/>
  <c r="H383" i="4"/>
  <c r="J382" i="4"/>
  <c r="I382" i="4"/>
  <c r="K382" i="4" s="1"/>
  <c r="H382" i="4"/>
  <c r="J381" i="4"/>
  <c r="I381" i="4"/>
  <c r="K381" i="4" s="1"/>
  <c r="H381" i="4"/>
  <c r="J380" i="4"/>
  <c r="I380" i="4"/>
  <c r="K380" i="4" s="1"/>
  <c r="H380" i="4"/>
  <c r="J379" i="4"/>
  <c r="I379" i="4"/>
  <c r="K379" i="4" s="1"/>
  <c r="H379" i="4"/>
  <c r="J378" i="4"/>
  <c r="I378" i="4"/>
  <c r="K378" i="4" s="1"/>
  <c r="H378" i="4"/>
  <c r="J377" i="4"/>
  <c r="I377" i="4"/>
  <c r="K377" i="4" s="1"/>
  <c r="H377" i="4"/>
  <c r="J376" i="4"/>
  <c r="I376" i="4"/>
  <c r="K376" i="4" s="1"/>
  <c r="H376" i="4"/>
  <c r="J375" i="4"/>
  <c r="I375" i="4"/>
  <c r="K375" i="4" s="1"/>
  <c r="H375" i="4"/>
  <c r="J374" i="4"/>
  <c r="I374" i="4"/>
  <c r="K374" i="4" s="1"/>
  <c r="H374" i="4"/>
  <c r="J373" i="4"/>
  <c r="I373" i="4"/>
  <c r="K373" i="4" s="1"/>
  <c r="H373" i="4"/>
  <c r="J372" i="4"/>
  <c r="I372" i="4"/>
  <c r="K372" i="4" s="1"/>
  <c r="H372" i="4"/>
  <c r="J371" i="4"/>
  <c r="I371" i="4"/>
  <c r="K371" i="4" s="1"/>
  <c r="H371" i="4"/>
  <c r="J370" i="4"/>
  <c r="I370" i="4"/>
  <c r="K370" i="4" s="1"/>
  <c r="H370" i="4"/>
  <c r="J369" i="4"/>
  <c r="I369" i="4"/>
  <c r="K369" i="4" s="1"/>
  <c r="H369" i="4"/>
  <c r="J368" i="4"/>
  <c r="I368" i="4"/>
  <c r="K368" i="4" s="1"/>
  <c r="H368" i="4"/>
  <c r="J367" i="4"/>
  <c r="I367" i="4"/>
  <c r="K367" i="4" s="1"/>
  <c r="H367" i="4"/>
  <c r="J366" i="4"/>
  <c r="I366" i="4"/>
  <c r="K366" i="4" s="1"/>
  <c r="H366" i="4"/>
  <c r="J365" i="4"/>
  <c r="I365" i="4"/>
  <c r="K365" i="4" s="1"/>
  <c r="H365" i="4"/>
  <c r="J364" i="4"/>
  <c r="I364" i="4"/>
  <c r="K364" i="4" s="1"/>
  <c r="H364" i="4"/>
  <c r="J363" i="4"/>
  <c r="I363" i="4"/>
  <c r="K363" i="4" s="1"/>
  <c r="H363" i="4"/>
  <c r="J362" i="4"/>
  <c r="I362" i="4"/>
  <c r="K362" i="4" s="1"/>
  <c r="H362" i="4"/>
  <c r="J361" i="4"/>
  <c r="I361" i="4"/>
  <c r="K361" i="4" s="1"/>
  <c r="H361" i="4"/>
  <c r="J360" i="4"/>
  <c r="I360" i="4"/>
  <c r="K360" i="4" s="1"/>
  <c r="H360" i="4"/>
  <c r="J359" i="4"/>
  <c r="I359" i="4"/>
  <c r="K359" i="4" s="1"/>
  <c r="H359" i="4"/>
  <c r="J358" i="4"/>
  <c r="I358" i="4"/>
  <c r="K358" i="4" s="1"/>
  <c r="H358" i="4"/>
  <c r="J357" i="4"/>
  <c r="I357" i="4"/>
  <c r="K357" i="4" s="1"/>
  <c r="H357" i="4"/>
  <c r="J356" i="4"/>
  <c r="I356" i="4"/>
  <c r="K356" i="4" s="1"/>
  <c r="H356" i="4"/>
  <c r="J355" i="4"/>
  <c r="I355" i="4"/>
  <c r="K355" i="4" s="1"/>
  <c r="H355" i="4"/>
  <c r="J354" i="4"/>
  <c r="I354" i="4"/>
  <c r="K354" i="4" s="1"/>
  <c r="H354" i="4"/>
  <c r="J353" i="4"/>
  <c r="I353" i="4"/>
  <c r="K353" i="4" s="1"/>
  <c r="H353" i="4"/>
  <c r="J352" i="4"/>
  <c r="I352" i="4"/>
  <c r="K352" i="4" s="1"/>
  <c r="H352" i="4"/>
  <c r="J351" i="4"/>
  <c r="I351" i="4"/>
  <c r="K351" i="4" s="1"/>
  <c r="H351" i="4"/>
  <c r="J350" i="4"/>
  <c r="I350" i="4"/>
  <c r="K350" i="4" s="1"/>
  <c r="H350" i="4"/>
  <c r="J349" i="4"/>
  <c r="I349" i="4"/>
  <c r="K349" i="4" s="1"/>
  <c r="H349" i="4"/>
  <c r="J348" i="4"/>
  <c r="I348" i="4"/>
  <c r="K348" i="4" s="1"/>
  <c r="H348" i="4"/>
  <c r="J347" i="4"/>
  <c r="I347" i="4"/>
  <c r="K347" i="4" s="1"/>
  <c r="H347" i="4"/>
  <c r="J346" i="4"/>
  <c r="I346" i="4"/>
  <c r="K346" i="4" s="1"/>
  <c r="H346" i="4"/>
  <c r="J345" i="4"/>
  <c r="I345" i="4"/>
  <c r="K345" i="4" s="1"/>
  <c r="H345" i="4"/>
  <c r="J344" i="4"/>
  <c r="I344" i="4"/>
  <c r="K344" i="4" s="1"/>
  <c r="H344" i="4"/>
  <c r="J343" i="4"/>
  <c r="I343" i="4"/>
  <c r="K343" i="4" s="1"/>
  <c r="H343" i="4"/>
  <c r="J342" i="4"/>
  <c r="I342" i="4"/>
  <c r="K342" i="4" s="1"/>
  <c r="H342" i="4"/>
  <c r="J341" i="4"/>
  <c r="I341" i="4"/>
  <c r="K341" i="4" s="1"/>
  <c r="H341" i="4"/>
  <c r="J340" i="4"/>
  <c r="I340" i="4"/>
  <c r="K340" i="4" s="1"/>
  <c r="H340" i="4"/>
  <c r="J339" i="4"/>
  <c r="I339" i="4"/>
  <c r="K339" i="4" s="1"/>
  <c r="H339" i="4"/>
  <c r="J338" i="4"/>
  <c r="I338" i="4"/>
  <c r="K338" i="4" s="1"/>
  <c r="H338" i="4"/>
  <c r="J337" i="4"/>
  <c r="I337" i="4"/>
  <c r="K337" i="4" s="1"/>
  <c r="H337" i="4"/>
  <c r="J336" i="4"/>
  <c r="I336" i="4"/>
  <c r="K336" i="4" s="1"/>
  <c r="H336" i="4"/>
  <c r="J335" i="4"/>
  <c r="I335" i="4"/>
  <c r="K335" i="4" s="1"/>
  <c r="H335" i="4"/>
  <c r="J334" i="4"/>
  <c r="I334" i="4"/>
  <c r="K334" i="4" s="1"/>
  <c r="H334" i="4"/>
  <c r="J333" i="4"/>
  <c r="I333" i="4"/>
  <c r="K333" i="4" s="1"/>
  <c r="H333" i="4"/>
  <c r="J332" i="4"/>
  <c r="I332" i="4"/>
  <c r="K332" i="4" s="1"/>
  <c r="H332" i="4"/>
  <c r="J331" i="4"/>
  <c r="I331" i="4"/>
  <c r="K331" i="4" s="1"/>
  <c r="H331" i="4"/>
  <c r="J330" i="4"/>
  <c r="I330" i="4"/>
  <c r="K330" i="4" s="1"/>
  <c r="H330" i="4"/>
  <c r="J329" i="4"/>
  <c r="I329" i="4"/>
  <c r="K329" i="4" s="1"/>
  <c r="H329" i="4"/>
  <c r="J328" i="4"/>
  <c r="I328" i="4"/>
  <c r="K328" i="4" s="1"/>
  <c r="H328" i="4"/>
  <c r="J327" i="4"/>
  <c r="I327" i="4"/>
  <c r="K327" i="4" s="1"/>
  <c r="H327" i="4"/>
  <c r="J326" i="4"/>
  <c r="I326" i="4"/>
  <c r="K326" i="4" s="1"/>
  <c r="H326" i="4"/>
  <c r="J325" i="4"/>
  <c r="I325" i="4"/>
  <c r="K325" i="4" s="1"/>
  <c r="H325" i="4"/>
  <c r="J324" i="4"/>
  <c r="I324" i="4"/>
  <c r="K324" i="4" s="1"/>
  <c r="H324" i="4"/>
  <c r="J323" i="4"/>
  <c r="I323" i="4"/>
  <c r="K323" i="4" s="1"/>
  <c r="H323" i="4"/>
  <c r="J322" i="4"/>
  <c r="I322" i="4"/>
  <c r="K322" i="4" s="1"/>
  <c r="H322" i="4"/>
  <c r="J321" i="4"/>
  <c r="I321" i="4"/>
  <c r="K321" i="4" s="1"/>
  <c r="H321" i="4"/>
  <c r="J320" i="4"/>
  <c r="I320" i="4"/>
  <c r="K320" i="4" s="1"/>
  <c r="H320" i="4"/>
  <c r="J319" i="4"/>
  <c r="I319" i="4"/>
  <c r="K319" i="4" s="1"/>
  <c r="H319" i="4"/>
  <c r="J318" i="4"/>
  <c r="I318" i="4"/>
  <c r="K318" i="4" s="1"/>
  <c r="H318" i="4"/>
  <c r="J317" i="4"/>
  <c r="I317" i="4"/>
  <c r="K317" i="4" s="1"/>
  <c r="H317" i="4"/>
  <c r="J316" i="4"/>
  <c r="I316" i="4"/>
  <c r="K316" i="4" s="1"/>
  <c r="H316" i="4"/>
  <c r="J315" i="4"/>
  <c r="I315" i="4"/>
  <c r="K315" i="4" s="1"/>
  <c r="H315" i="4"/>
  <c r="J314" i="4"/>
  <c r="I314" i="4"/>
  <c r="K314" i="4" s="1"/>
  <c r="H314" i="4"/>
  <c r="J313" i="4"/>
  <c r="I313" i="4"/>
  <c r="K313" i="4" s="1"/>
  <c r="H313" i="4"/>
  <c r="J312" i="4"/>
  <c r="I312" i="4"/>
  <c r="K312" i="4" s="1"/>
  <c r="H312" i="4"/>
  <c r="J311" i="4"/>
  <c r="I311" i="4"/>
  <c r="K311" i="4" s="1"/>
  <c r="H311" i="4"/>
  <c r="J310" i="4"/>
  <c r="I310" i="4"/>
  <c r="K310" i="4" s="1"/>
  <c r="H310" i="4"/>
  <c r="J309" i="4"/>
  <c r="I309" i="4"/>
  <c r="K309" i="4" s="1"/>
  <c r="H309" i="4"/>
  <c r="J308" i="4"/>
  <c r="I308" i="4"/>
  <c r="K308" i="4" s="1"/>
  <c r="H308" i="4"/>
  <c r="J307" i="4"/>
  <c r="I307" i="4"/>
  <c r="K307" i="4" s="1"/>
  <c r="H307" i="4"/>
  <c r="J306" i="4"/>
  <c r="I306" i="4"/>
  <c r="K306" i="4" s="1"/>
  <c r="H306" i="4"/>
  <c r="J305" i="4"/>
  <c r="I305" i="4"/>
  <c r="K305" i="4" s="1"/>
  <c r="H305" i="4"/>
  <c r="J304" i="4"/>
  <c r="I304" i="4"/>
  <c r="K304" i="4" s="1"/>
  <c r="H304" i="4"/>
  <c r="J303" i="4"/>
  <c r="I303" i="4"/>
  <c r="K303" i="4" s="1"/>
  <c r="H303" i="4"/>
  <c r="J302" i="4"/>
  <c r="I302" i="4"/>
  <c r="K302" i="4" s="1"/>
  <c r="H302" i="4"/>
  <c r="J301" i="4"/>
  <c r="I301" i="4"/>
  <c r="K301" i="4" s="1"/>
  <c r="H301" i="4"/>
  <c r="J300" i="4"/>
  <c r="I300" i="4"/>
  <c r="K300" i="4" s="1"/>
  <c r="H300" i="4"/>
  <c r="J299" i="4"/>
  <c r="I299" i="4"/>
  <c r="K299" i="4" s="1"/>
  <c r="H299" i="4"/>
  <c r="J298" i="4"/>
  <c r="I298" i="4"/>
  <c r="K298" i="4" s="1"/>
  <c r="H298" i="4"/>
  <c r="J297" i="4"/>
  <c r="I297" i="4"/>
  <c r="K297" i="4" s="1"/>
  <c r="H297" i="4"/>
  <c r="J296" i="4"/>
  <c r="I296" i="4"/>
  <c r="K296" i="4" s="1"/>
  <c r="H296" i="4"/>
  <c r="J295" i="4"/>
  <c r="I295" i="4"/>
  <c r="K295" i="4" s="1"/>
  <c r="H295" i="4"/>
  <c r="J294" i="4"/>
  <c r="I294" i="4"/>
  <c r="K294" i="4" s="1"/>
  <c r="H294" i="4"/>
  <c r="J293" i="4"/>
  <c r="I293" i="4"/>
  <c r="K293" i="4" s="1"/>
  <c r="H293" i="4"/>
  <c r="J292" i="4"/>
  <c r="I292" i="4"/>
  <c r="K292" i="4" s="1"/>
  <c r="H292" i="4"/>
  <c r="J291" i="4"/>
  <c r="I291" i="4"/>
  <c r="K291" i="4" s="1"/>
  <c r="H291" i="4"/>
  <c r="J290" i="4"/>
  <c r="I290" i="4"/>
  <c r="K290" i="4" s="1"/>
  <c r="H290" i="4"/>
  <c r="J289" i="4"/>
  <c r="I289" i="4"/>
  <c r="K289" i="4" s="1"/>
  <c r="H289" i="4"/>
  <c r="J288" i="4"/>
  <c r="I288" i="4"/>
  <c r="K288" i="4" s="1"/>
  <c r="H288" i="4"/>
  <c r="J287" i="4"/>
  <c r="I287" i="4"/>
  <c r="K287" i="4" s="1"/>
  <c r="H287" i="4"/>
  <c r="J286" i="4"/>
  <c r="I286" i="4"/>
  <c r="K286" i="4" s="1"/>
  <c r="H286" i="4"/>
  <c r="J285" i="4"/>
  <c r="I285" i="4"/>
  <c r="K285" i="4" s="1"/>
  <c r="H285" i="4"/>
  <c r="J284" i="4"/>
  <c r="I284" i="4"/>
  <c r="K284" i="4" s="1"/>
  <c r="H284" i="4"/>
  <c r="J283" i="4"/>
  <c r="I283" i="4"/>
  <c r="K283" i="4" s="1"/>
  <c r="H283" i="4"/>
  <c r="J282" i="4"/>
  <c r="I282" i="4"/>
  <c r="K282" i="4" s="1"/>
  <c r="H282" i="4"/>
  <c r="J281" i="4"/>
  <c r="I281" i="4"/>
  <c r="K281" i="4" s="1"/>
  <c r="H281" i="4"/>
  <c r="J280" i="4"/>
  <c r="I280" i="4"/>
  <c r="K280" i="4" s="1"/>
  <c r="H280" i="4"/>
  <c r="J279" i="4"/>
  <c r="I279" i="4"/>
  <c r="K279" i="4" s="1"/>
  <c r="H279" i="4"/>
  <c r="J278" i="4"/>
  <c r="I278" i="4"/>
  <c r="K278" i="4" s="1"/>
  <c r="H278" i="4"/>
  <c r="J277" i="4"/>
  <c r="I277" i="4"/>
  <c r="K277" i="4" s="1"/>
  <c r="H277" i="4"/>
  <c r="J276" i="4"/>
  <c r="I276" i="4"/>
  <c r="K276" i="4" s="1"/>
  <c r="H276" i="4"/>
  <c r="J275" i="4"/>
  <c r="I275" i="4"/>
  <c r="K275" i="4" s="1"/>
  <c r="H275" i="4"/>
  <c r="J274" i="4"/>
  <c r="I274" i="4"/>
  <c r="K274" i="4" s="1"/>
  <c r="H274" i="4"/>
  <c r="J273" i="4"/>
  <c r="I273" i="4"/>
  <c r="K273" i="4" s="1"/>
  <c r="H273" i="4"/>
  <c r="J272" i="4"/>
  <c r="I272" i="4"/>
  <c r="K272" i="4" s="1"/>
  <c r="H272" i="4"/>
  <c r="J271" i="4"/>
  <c r="I271" i="4"/>
  <c r="K271" i="4" s="1"/>
  <c r="H271" i="4"/>
  <c r="J270" i="4"/>
  <c r="I270" i="4"/>
  <c r="K270" i="4" s="1"/>
  <c r="H270" i="4"/>
  <c r="J269" i="4"/>
  <c r="I269" i="4"/>
  <c r="K269" i="4" s="1"/>
  <c r="H269" i="4"/>
  <c r="J268" i="4"/>
  <c r="I268" i="4"/>
  <c r="K268" i="4" s="1"/>
  <c r="H268" i="4"/>
  <c r="J267" i="4"/>
  <c r="I267" i="4"/>
  <c r="K267" i="4" s="1"/>
  <c r="H267" i="4"/>
  <c r="J266" i="4"/>
  <c r="I266" i="4"/>
  <c r="K266" i="4" s="1"/>
  <c r="H266" i="4"/>
  <c r="J265" i="4"/>
  <c r="I265" i="4"/>
  <c r="K265" i="4" s="1"/>
  <c r="H265" i="4"/>
  <c r="J264" i="4"/>
  <c r="I264" i="4"/>
  <c r="K264" i="4" s="1"/>
  <c r="H264" i="4"/>
  <c r="J263" i="4"/>
  <c r="I263" i="4"/>
  <c r="K263" i="4" s="1"/>
  <c r="H263" i="4"/>
  <c r="J262" i="4"/>
  <c r="I262" i="4"/>
  <c r="H262" i="4"/>
  <c r="J261" i="4"/>
  <c r="I261" i="4"/>
  <c r="K261" i="4" s="1"/>
  <c r="H261" i="4"/>
  <c r="J260" i="4"/>
  <c r="I260" i="4"/>
  <c r="K260" i="4" s="1"/>
  <c r="H260" i="4"/>
  <c r="J259" i="4"/>
  <c r="I259" i="4"/>
  <c r="K259" i="4" s="1"/>
  <c r="H259" i="4"/>
  <c r="J258" i="4"/>
  <c r="I258" i="4"/>
  <c r="K258" i="4" s="1"/>
  <c r="H258" i="4"/>
  <c r="J257" i="4"/>
  <c r="I257" i="4"/>
  <c r="K257" i="4" s="1"/>
  <c r="H257" i="4"/>
  <c r="J256" i="4"/>
  <c r="I256" i="4"/>
  <c r="K256" i="4" s="1"/>
  <c r="H256" i="4"/>
  <c r="J255" i="4"/>
  <c r="I255" i="4"/>
  <c r="K255" i="4" s="1"/>
  <c r="H255" i="4"/>
  <c r="J254" i="4"/>
  <c r="I254" i="4"/>
  <c r="K254" i="4" s="1"/>
  <c r="H254" i="4"/>
  <c r="J253" i="4"/>
  <c r="I253" i="4"/>
  <c r="K253" i="4" s="1"/>
  <c r="H253" i="4"/>
  <c r="J252" i="4"/>
  <c r="I252" i="4"/>
  <c r="K252" i="4" s="1"/>
  <c r="H252" i="4"/>
  <c r="J251" i="4"/>
  <c r="I251" i="4"/>
  <c r="K251" i="4" s="1"/>
  <c r="H251" i="4"/>
  <c r="J250" i="4"/>
  <c r="I250" i="4"/>
  <c r="K250" i="4" s="1"/>
  <c r="H250" i="4"/>
  <c r="J249" i="4"/>
  <c r="I249" i="4"/>
  <c r="K249" i="4" s="1"/>
  <c r="H249" i="4"/>
  <c r="J248" i="4"/>
  <c r="I248" i="4"/>
  <c r="K248" i="4" s="1"/>
  <c r="H248" i="4"/>
  <c r="J247" i="4"/>
  <c r="I247" i="4"/>
  <c r="K247" i="4" s="1"/>
  <c r="H247" i="4"/>
  <c r="J246" i="4"/>
  <c r="I246" i="4"/>
  <c r="K246" i="4" s="1"/>
  <c r="H246" i="4"/>
  <c r="J245" i="4"/>
  <c r="I245" i="4"/>
  <c r="K245" i="4" s="1"/>
  <c r="H245" i="4"/>
  <c r="J244" i="4"/>
  <c r="I244" i="4"/>
  <c r="K244" i="4" s="1"/>
  <c r="H244" i="4"/>
  <c r="J243" i="4"/>
  <c r="I243" i="4"/>
  <c r="K243" i="4" s="1"/>
  <c r="H243" i="4"/>
  <c r="J242" i="4"/>
  <c r="I242" i="4"/>
  <c r="K242" i="4" s="1"/>
  <c r="H242" i="4"/>
  <c r="J241" i="4"/>
  <c r="I241" i="4"/>
  <c r="K241" i="4" s="1"/>
  <c r="H241" i="4"/>
  <c r="J240" i="4"/>
  <c r="I240" i="4"/>
  <c r="K240" i="4" s="1"/>
  <c r="H240" i="4"/>
  <c r="J239" i="4"/>
  <c r="I239" i="4"/>
  <c r="K239" i="4" s="1"/>
  <c r="H239" i="4"/>
  <c r="J238" i="4"/>
  <c r="I238" i="4"/>
  <c r="K238" i="4" s="1"/>
  <c r="H238" i="4"/>
  <c r="J237" i="4"/>
  <c r="I237" i="4"/>
  <c r="K237" i="4" s="1"/>
  <c r="H237" i="4"/>
  <c r="J236" i="4"/>
  <c r="I236" i="4"/>
  <c r="K236" i="4" s="1"/>
  <c r="H236" i="4"/>
  <c r="J235" i="4"/>
  <c r="I235" i="4"/>
  <c r="K235" i="4" s="1"/>
  <c r="H235" i="4"/>
  <c r="J234" i="4"/>
  <c r="I234" i="4"/>
  <c r="K234" i="4" s="1"/>
  <c r="H234" i="4"/>
  <c r="J233" i="4"/>
  <c r="I233" i="4"/>
  <c r="K233" i="4" s="1"/>
  <c r="H233" i="4"/>
  <c r="J232" i="4"/>
  <c r="I232" i="4"/>
  <c r="K232" i="4" s="1"/>
  <c r="H232" i="4"/>
  <c r="J231" i="4"/>
  <c r="I231" i="4"/>
  <c r="K231" i="4" s="1"/>
  <c r="H231" i="4"/>
  <c r="J230" i="4"/>
  <c r="I230" i="4"/>
  <c r="K230" i="4" s="1"/>
  <c r="H230" i="4"/>
  <c r="J229" i="4"/>
  <c r="I229" i="4"/>
  <c r="K229" i="4" s="1"/>
  <c r="H229" i="4"/>
  <c r="J228" i="4"/>
  <c r="I228" i="4"/>
  <c r="K228" i="4" s="1"/>
  <c r="H228" i="4"/>
  <c r="J227" i="4"/>
  <c r="I227" i="4"/>
  <c r="K227" i="4" s="1"/>
  <c r="H227" i="4"/>
  <c r="J226" i="4"/>
  <c r="I226" i="4"/>
  <c r="K226" i="4" s="1"/>
  <c r="H226" i="4"/>
  <c r="J225" i="4"/>
  <c r="I225" i="4"/>
  <c r="K225" i="4" s="1"/>
  <c r="H225" i="4"/>
  <c r="J224" i="4"/>
  <c r="I224" i="4"/>
  <c r="K224" i="4" s="1"/>
  <c r="H224" i="4"/>
  <c r="J223" i="4"/>
  <c r="I223" i="4"/>
  <c r="K223" i="4" s="1"/>
  <c r="H223" i="4"/>
  <c r="J222" i="4"/>
  <c r="I222" i="4"/>
  <c r="K222" i="4" s="1"/>
  <c r="H222" i="4"/>
  <c r="J221" i="4"/>
  <c r="I221" i="4"/>
  <c r="K221" i="4" s="1"/>
  <c r="H221" i="4"/>
  <c r="J220" i="4"/>
  <c r="I220" i="4"/>
  <c r="K220" i="4" s="1"/>
  <c r="H220" i="4"/>
  <c r="J219" i="4"/>
  <c r="I219" i="4"/>
  <c r="K219" i="4" s="1"/>
  <c r="H219" i="4"/>
  <c r="J218" i="4"/>
  <c r="I218" i="4"/>
  <c r="K218" i="4" s="1"/>
  <c r="H218" i="4"/>
  <c r="J217" i="4"/>
  <c r="I217" i="4"/>
  <c r="K217" i="4" s="1"/>
  <c r="H217" i="4"/>
  <c r="J216" i="4"/>
  <c r="I216" i="4"/>
  <c r="K216" i="4" s="1"/>
  <c r="H216" i="4"/>
  <c r="J215" i="4"/>
  <c r="I215" i="4"/>
  <c r="K215" i="4" s="1"/>
  <c r="H215" i="4"/>
  <c r="J214" i="4"/>
  <c r="I214" i="4"/>
  <c r="K214" i="4" s="1"/>
  <c r="H214" i="4"/>
  <c r="J213" i="4"/>
  <c r="I213" i="4"/>
  <c r="K213" i="4" s="1"/>
  <c r="H213" i="4"/>
  <c r="J212" i="4"/>
  <c r="I212" i="4"/>
  <c r="K212" i="4" s="1"/>
  <c r="H212" i="4"/>
  <c r="J211" i="4"/>
  <c r="I211" i="4"/>
  <c r="K211" i="4" s="1"/>
  <c r="H211" i="4"/>
  <c r="J210" i="4"/>
  <c r="I210" i="4"/>
  <c r="K210" i="4" s="1"/>
  <c r="H210" i="4"/>
  <c r="J209" i="4"/>
  <c r="I209" i="4"/>
  <c r="K209" i="4" s="1"/>
  <c r="H209" i="4"/>
  <c r="J208" i="4"/>
  <c r="I208" i="4"/>
  <c r="K208" i="4" s="1"/>
  <c r="H208" i="4"/>
  <c r="J207" i="4"/>
  <c r="I207" i="4"/>
  <c r="K207" i="4" s="1"/>
  <c r="H207" i="4"/>
  <c r="J206" i="4"/>
  <c r="I206" i="4"/>
  <c r="K206" i="4" s="1"/>
  <c r="H206" i="4"/>
  <c r="J205" i="4"/>
  <c r="I205" i="4"/>
  <c r="K205" i="4" s="1"/>
  <c r="H205" i="4"/>
  <c r="J204" i="4"/>
  <c r="I204" i="4"/>
  <c r="K204" i="4" s="1"/>
  <c r="H204" i="4"/>
  <c r="J203" i="4"/>
  <c r="I203" i="4"/>
  <c r="K203" i="4" s="1"/>
  <c r="H203" i="4"/>
  <c r="J202" i="4"/>
  <c r="I202" i="4"/>
  <c r="K202" i="4" s="1"/>
  <c r="H202" i="4"/>
  <c r="J201" i="4"/>
  <c r="I201" i="4"/>
  <c r="K201" i="4" s="1"/>
  <c r="H201" i="4"/>
  <c r="J200" i="4"/>
  <c r="I200" i="4"/>
  <c r="K200" i="4" s="1"/>
  <c r="H200" i="4"/>
  <c r="J199" i="4"/>
  <c r="I199" i="4"/>
  <c r="K199" i="4" s="1"/>
  <c r="H199" i="4"/>
  <c r="J198" i="4"/>
  <c r="I198" i="4"/>
  <c r="K198" i="4" s="1"/>
  <c r="H198" i="4"/>
  <c r="J197" i="4"/>
  <c r="I197" i="4"/>
  <c r="K197" i="4" s="1"/>
  <c r="H197" i="4"/>
  <c r="J196" i="4"/>
  <c r="I196" i="4"/>
  <c r="K196" i="4" s="1"/>
  <c r="H196" i="4"/>
  <c r="J195" i="4"/>
  <c r="I195" i="4"/>
  <c r="K195" i="4" s="1"/>
  <c r="H195" i="4"/>
  <c r="J194" i="4"/>
  <c r="I194" i="4"/>
  <c r="K194" i="4" s="1"/>
  <c r="H194" i="4"/>
  <c r="J193" i="4"/>
  <c r="I193" i="4"/>
  <c r="K193" i="4" s="1"/>
  <c r="H193" i="4"/>
  <c r="J192" i="4"/>
  <c r="I192" i="4"/>
  <c r="K192" i="4" s="1"/>
  <c r="H192" i="4"/>
  <c r="J191" i="4"/>
  <c r="I191" i="4"/>
  <c r="K191" i="4" s="1"/>
  <c r="H191" i="4"/>
  <c r="J190" i="4"/>
  <c r="I190" i="4"/>
  <c r="K190" i="4" s="1"/>
  <c r="H190" i="4"/>
  <c r="J189" i="4"/>
  <c r="I189" i="4"/>
  <c r="K189" i="4" s="1"/>
  <c r="H189" i="4"/>
  <c r="J188" i="4"/>
  <c r="I188" i="4"/>
  <c r="K188" i="4" s="1"/>
  <c r="H188" i="4"/>
  <c r="J187" i="4"/>
  <c r="I187" i="4"/>
  <c r="K187" i="4" s="1"/>
  <c r="H187" i="4"/>
  <c r="J186" i="4"/>
  <c r="I186" i="4"/>
  <c r="K186" i="4" s="1"/>
  <c r="H186" i="4"/>
  <c r="J185" i="4"/>
  <c r="I185" i="4"/>
  <c r="K185" i="4" s="1"/>
  <c r="H185" i="4"/>
  <c r="J184" i="4"/>
  <c r="I184" i="4"/>
  <c r="K184" i="4" s="1"/>
  <c r="H184" i="4"/>
  <c r="J183" i="4"/>
  <c r="I183" i="4"/>
  <c r="K183" i="4" s="1"/>
  <c r="H183" i="4"/>
  <c r="J182" i="4"/>
  <c r="I182" i="4"/>
  <c r="K182" i="4" s="1"/>
  <c r="H182" i="4"/>
  <c r="J181" i="4"/>
  <c r="I181" i="4"/>
  <c r="K181" i="4" s="1"/>
  <c r="H181" i="4"/>
  <c r="J180" i="4"/>
  <c r="I180" i="4"/>
  <c r="K180" i="4" s="1"/>
  <c r="H180" i="4"/>
  <c r="J179" i="4"/>
  <c r="I179" i="4"/>
  <c r="K179" i="4" s="1"/>
  <c r="H179" i="4"/>
  <c r="J178" i="4"/>
  <c r="I178" i="4"/>
  <c r="K178" i="4" s="1"/>
  <c r="H178" i="4"/>
  <c r="J177" i="4"/>
  <c r="I177" i="4"/>
  <c r="K177" i="4" s="1"/>
  <c r="H177" i="4"/>
  <c r="J176" i="4"/>
  <c r="I176" i="4"/>
  <c r="K176" i="4" s="1"/>
  <c r="H176" i="4"/>
  <c r="J175" i="4"/>
  <c r="I175" i="4"/>
  <c r="K175" i="4" s="1"/>
  <c r="H175" i="4"/>
  <c r="J174" i="4"/>
  <c r="I174" i="4"/>
  <c r="K174" i="4" s="1"/>
  <c r="H174" i="4"/>
  <c r="J173" i="4"/>
  <c r="I173" i="4"/>
  <c r="K173" i="4" s="1"/>
  <c r="H173" i="4"/>
  <c r="J172" i="4"/>
  <c r="I172" i="4"/>
  <c r="K172" i="4" s="1"/>
  <c r="H172" i="4"/>
  <c r="J171" i="4"/>
  <c r="I171" i="4"/>
  <c r="K171" i="4" s="1"/>
  <c r="H171" i="4"/>
  <c r="J170" i="4"/>
  <c r="I170" i="4"/>
  <c r="K170" i="4" s="1"/>
  <c r="H170" i="4"/>
  <c r="J169" i="4"/>
  <c r="I169" i="4"/>
  <c r="K169" i="4" s="1"/>
  <c r="H169" i="4"/>
  <c r="J168" i="4"/>
  <c r="I168" i="4"/>
  <c r="K168" i="4" s="1"/>
  <c r="H168" i="4"/>
  <c r="J167" i="4"/>
  <c r="I167" i="4"/>
  <c r="K167" i="4" s="1"/>
  <c r="H167" i="4"/>
  <c r="J166" i="4"/>
  <c r="I166" i="4"/>
  <c r="K166" i="4" s="1"/>
  <c r="H166" i="4"/>
  <c r="J165" i="4"/>
  <c r="I165" i="4"/>
  <c r="K165" i="4" s="1"/>
  <c r="H165" i="4"/>
  <c r="J164" i="4"/>
  <c r="I164" i="4"/>
  <c r="K164" i="4" s="1"/>
  <c r="H164" i="4"/>
  <c r="J163" i="4"/>
  <c r="I163" i="4"/>
  <c r="H163" i="4"/>
  <c r="J162" i="4"/>
  <c r="I162" i="4"/>
  <c r="H162" i="4"/>
  <c r="J161" i="4"/>
  <c r="I161" i="4"/>
  <c r="K161" i="4" s="1"/>
  <c r="H161" i="4"/>
  <c r="J160" i="4"/>
  <c r="I160" i="4"/>
  <c r="K160" i="4" s="1"/>
  <c r="H160" i="4"/>
  <c r="J159" i="4"/>
  <c r="I159" i="4"/>
  <c r="K159" i="4" s="1"/>
  <c r="H159" i="4"/>
  <c r="J158" i="4"/>
  <c r="I158" i="4"/>
  <c r="K158" i="4" s="1"/>
  <c r="H158" i="4"/>
  <c r="J157" i="4"/>
  <c r="I157" i="4"/>
  <c r="K157" i="4" s="1"/>
  <c r="H157" i="4"/>
  <c r="J156" i="4"/>
  <c r="I156" i="4"/>
  <c r="K156" i="4" s="1"/>
  <c r="H156" i="4"/>
  <c r="J155" i="4"/>
  <c r="I155" i="4"/>
  <c r="K155" i="4" s="1"/>
  <c r="H155" i="4"/>
  <c r="J154" i="4"/>
  <c r="I154" i="4"/>
  <c r="K154" i="4" s="1"/>
  <c r="H154" i="4"/>
  <c r="J153" i="4"/>
  <c r="I153" i="4"/>
  <c r="K153" i="4" s="1"/>
  <c r="H153" i="4"/>
  <c r="J152" i="4"/>
  <c r="I152" i="4"/>
  <c r="K152" i="4" s="1"/>
  <c r="H152" i="4"/>
  <c r="J151" i="4"/>
  <c r="I151" i="4"/>
  <c r="K151" i="4" s="1"/>
  <c r="H151" i="4"/>
  <c r="J150" i="4"/>
  <c r="I150" i="4"/>
  <c r="H150" i="4"/>
  <c r="J149" i="4"/>
  <c r="I149" i="4"/>
  <c r="K149" i="4" s="1"/>
  <c r="H149" i="4"/>
  <c r="J148" i="4"/>
  <c r="I148" i="4"/>
  <c r="K148" i="4" s="1"/>
  <c r="H148" i="4"/>
  <c r="J147" i="4"/>
  <c r="I147" i="4"/>
  <c r="K147" i="4" s="1"/>
  <c r="H147" i="4"/>
  <c r="J146" i="4"/>
  <c r="I146" i="4"/>
  <c r="H146" i="4"/>
  <c r="J145" i="4"/>
  <c r="I145" i="4"/>
  <c r="K145" i="4" s="1"/>
  <c r="H145" i="4"/>
  <c r="J144" i="4"/>
  <c r="I144" i="4"/>
  <c r="K144" i="4" s="1"/>
  <c r="H144" i="4"/>
  <c r="J143" i="4"/>
  <c r="I143" i="4"/>
  <c r="K143" i="4" s="1"/>
  <c r="H143" i="4"/>
  <c r="J142" i="4"/>
  <c r="I142" i="4"/>
  <c r="K142" i="4" s="1"/>
  <c r="H142" i="4"/>
  <c r="J141" i="4"/>
  <c r="I141" i="4"/>
  <c r="K141" i="4" s="1"/>
  <c r="H141" i="4"/>
  <c r="J140" i="4"/>
  <c r="I140" i="4"/>
  <c r="K140" i="4" s="1"/>
  <c r="H140" i="4"/>
  <c r="J139" i="4"/>
  <c r="I139" i="4"/>
  <c r="H139" i="4"/>
  <c r="J138" i="4"/>
  <c r="I138" i="4"/>
  <c r="H138" i="4"/>
  <c r="J137" i="4"/>
  <c r="I137" i="4"/>
  <c r="K137" i="4" s="1"/>
  <c r="H137" i="4"/>
  <c r="J136" i="4"/>
  <c r="I136" i="4"/>
  <c r="K136" i="4" s="1"/>
  <c r="H136" i="4"/>
  <c r="J135" i="4"/>
  <c r="I135" i="4"/>
  <c r="K135" i="4" s="1"/>
  <c r="H135" i="4"/>
  <c r="J134" i="4"/>
  <c r="I134" i="4"/>
  <c r="K134" i="4" s="1"/>
  <c r="H134" i="4"/>
  <c r="J133" i="4"/>
  <c r="I133" i="4"/>
  <c r="K133" i="4" s="1"/>
  <c r="H133" i="4"/>
  <c r="J132" i="4"/>
  <c r="I132" i="4"/>
  <c r="K132" i="4" s="1"/>
  <c r="H132" i="4"/>
  <c r="J131" i="4"/>
  <c r="I131" i="4"/>
  <c r="K131" i="4" s="1"/>
  <c r="H131" i="4"/>
  <c r="J130" i="4"/>
  <c r="I130" i="4"/>
  <c r="K130" i="4" s="1"/>
  <c r="H130" i="4"/>
  <c r="J129" i="4"/>
  <c r="I129" i="4"/>
  <c r="K129" i="4" s="1"/>
  <c r="H129" i="4"/>
  <c r="J128" i="4"/>
  <c r="I128" i="4"/>
  <c r="K128" i="4" s="1"/>
  <c r="H128" i="4"/>
  <c r="J127" i="4"/>
  <c r="I127" i="4"/>
  <c r="K127" i="4" s="1"/>
  <c r="H127" i="4"/>
  <c r="J126" i="4"/>
  <c r="I126" i="4"/>
  <c r="K126" i="4" s="1"/>
  <c r="H126" i="4"/>
  <c r="J125" i="4"/>
  <c r="I125" i="4"/>
  <c r="K125" i="4" s="1"/>
  <c r="H125" i="4"/>
  <c r="J124" i="4"/>
  <c r="I124" i="4"/>
  <c r="K124" i="4" s="1"/>
  <c r="H124" i="4"/>
  <c r="J123" i="4"/>
  <c r="I123" i="4"/>
  <c r="K123" i="4" s="1"/>
  <c r="H123" i="4"/>
  <c r="J122" i="4"/>
  <c r="I122" i="4"/>
  <c r="K122" i="4" s="1"/>
  <c r="H122" i="4"/>
  <c r="J121" i="4"/>
  <c r="I121" i="4"/>
  <c r="K121" i="4" s="1"/>
  <c r="H121" i="4"/>
  <c r="J120" i="4"/>
  <c r="I120" i="4"/>
  <c r="K120" i="4" s="1"/>
  <c r="H120" i="4"/>
  <c r="J119" i="4"/>
  <c r="I119" i="4"/>
  <c r="K119" i="4" s="1"/>
  <c r="H119" i="4"/>
  <c r="J118" i="4"/>
  <c r="I118" i="4"/>
  <c r="K118" i="4" s="1"/>
  <c r="H118" i="4"/>
  <c r="J117" i="4"/>
  <c r="I117" i="4"/>
  <c r="K117" i="4" s="1"/>
  <c r="H117" i="4"/>
  <c r="J116" i="4"/>
  <c r="I116" i="4"/>
  <c r="K116" i="4" s="1"/>
  <c r="H116" i="4"/>
  <c r="J115" i="4"/>
  <c r="I115" i="4"/>
  <c r="K115" i="4" s="1"/>
  <c r="H115" i="4"/>
  <c r="J114" i="4"/>
  <c r="I114" i="4"/>
  <c r="K114" i="4" s="1"/>
  <c r="H114" i="4"/>
  <c r="J113" i="4"/>
  <c r="I113" i="4"/>
  <c r="K113" i="4" s="1"/>
  <c r="H113" i="4"/>
  <c r="J112" i="4"/>
  <c r="I112" i="4"/>
  <c r="K112" i="4" s="1"/>
  <c r="H112" i="4"/>
  <c r="J111" i="4"/>
  <c r="I111" i="4"/>
  <c r="K111" i="4" s="1"/>
  <c r="H111" i="4"/>
  <c r="J110" i="4"/>
  <c r="I110" i="4"/>
  <c r="K110" i="4" s="1"/>
  <c r="H110" i="4"/>
  <c r="J109" i="4"/>
  <c r="I109" i="4"/>
  <c r="K109" i="4" s="1"/>
  <c r="H109" i="4"/>
  <c r="J108" i="4"/>
  <c r="I108" i="4"/>
  <c r="K108" i="4" s="1"/>
  <c r="H108" i="4"/>
  <c r="J107" i="4"/>
  <c r="I107" i="4"/>
  <c r="K107" i="4" s="1"/>
  <c r="H107" i="4"/>
  <c r="J106" i="4"/>
  <c r="I106" i="4"/>
  <c r="K106" i="4" s="1"/>
  <c r="H106" i="4"/>
  <c r="J105" i="4"/>
  <c r="I105" i="4"/>
  <c r="K105" i="4" s="1"/>
  <c r="H105" i="4"/>
  <c r="J104" i="4"/>
  <c r="I104" i="4"/>
  <c r="K104" i="4" s="1"/>
  <c r="H104" i="4"/>
  <c r="J103" i="4"/>
  <c r="I103" i="4"/>
  <c r="K103" i="4" s="1"/>
  <c r="H103" i="4"/>
  <c r="J102" i="4"/>
  <c r="I102" i="4"/>
  <c r="K102" i="4" s="1"/>
  <c r="H102" i="4"/>
  <c r="J101" i="4"/>
  <c r="I101" i="4"/>
  <c r="K101" i="4" s="1"/>
  <c r="H101" i="4"/>
  <c r="J100" i="4"/>
  <c r="I100" i="4"/>
  <c r="K100" i="4" s="1"/>
  <c r="H100" i="4"/>
  <c r="J99" i="4"/>
  <c r="I99" i="4"/>
  <c r="K99" i="4" s="1"/>
  <c r="H99" i="4"/>
  <c r="J98" i="4"/>
  <c r="I98" i="4"/>
  <c r="K98" i="4" s="1"/>
  <c r="H98" i="4"/>
  <c r="J97" i="4"/>
  <c r="I97" i="4"/>
  <c r="K97" i="4" s="1"/>
  <c r="H97" i="4"/>
  <c r="J96" i="4"/>
  <c r="I96" i="4"/>
  <c r="K96" i="4" s="1"/>
  <c r="H96" i="4"/>
  <c r="J95" i="4"/>
  <c r="I95" i="4"/>
  <c r="K95" i="4" s="1"/>
  <c r="H95" i="4"/>
  <c r="J94" i="4"/>
  <c r="I94" i="4"/>
  <c r="K94" i="4" s="1"/>
  <c r="H94" i="4"/>
  <c r="J93" i="4"/>
  <c r="I93" i="4"/>
  <c r="K93" i="4" s="1"/>
  <c r="H93" i="4"/>
  <c r="J92" i="4"/>
  <c r="I92" i="4"/>
  <c r="K92" i="4" s="1"/>
  <c r="H92" i="4"/>
  <c r="J91" i="4"/>
  <c r="I91" i="4"/>
  <c r="K91" i="4" s="1"/>
  <c r="H91" i="4"/>
  <c r="J90" i="4"/>
  <c r="I90" i="4"/>
  <c r="K90" i="4" s="1"/>
  <c r="H90" i="4"/>
  <c r="J89" i="4"/>
  <c r="I89" i="4"/>
  <c r="K89" i="4" s="1"/>
  <c r="H89" i="4"/>
  <c r="J88" i="4"/>
  <c r="I88" i="4"/>
  <c r="K88" i="4" s="1"/>
  <c r="H88" i="4"/>
  <c r="J87" i="4"/>
  <c r="I87" i="4"/>
  <c r="K87" i="4" s="1"/>
  <c r="H87" i="4"/>
  <c r="J86" i="4"/>
  <c r="I86" i="4"/>
  <c r="K86" i="4" s="1"/>
  <c r="H86" i="4"/>
  <c r="J85" i="4"/>
  <c r="I85" i="4"/>
  <c r="K85" i="4" s="1"/>
  <c r="H85" i="4"/>
  <c r="J84" i="4"/>
  <c r="I84" i="4"/>
  <c r="K84" i="4" s="1"/>
  <c r="H84" i="4"/>
  <c r="J83" i="4"/>
  <c r="I83" i="4"/>
  <c r="K83" i="4" s="1"/>
  <c r="H83" i="4"/>
  <c r="J82" i="4"/>
  <c r="I82" i="4"/>
  <c r="K82" i="4" s="1"/>
  <c r="H82" i="4"/>
  <c r="J81" i="4"/>
  <c r="I81" i="4"/>
  <c r="K81" i="4" s="1"/>
  <c r="H81" i="4"/>
  <c r="J80" i="4"/>
  <c r="I80" i="4"/>
  <c r="K80" i="4" s="1"/>
  <c r="H80" i="4"/>
  <c r="J79" i="4"/>
  <c r="I79" i="4"/>
  <c r="K79" i="4" s="1"/>
  <c r="H79" i="4"/>
  <c r="J78" i="4"/>
  <c r="I78" i="4"/>
  <c r="K78" i="4" s="1"/>
  <c r="H78" i="4"/>
  <c r="J77" i="4"/>
  <c r="I77" i="4"/>
  <c r="K77" i="4" s="1"/>
  <c r="H77" i="4"/>
  <c r="J76" i="4"/>
  <c r="I76" i="4"/>
  <c r="K76" i="4" s="1"/>
  <c r="H76" i="4"/>
  <c r="J75" i="4"/>
  <c r="I75" i="4"/>
  <c r="K75" i="4" s="1"/>
  <c r="H75" i="4"/>
  <c r="J74" i="4"/>
  <c r="I74" i="4"/>
  <c r="K74" i="4" s="1"/>
  <c r="H74" i="4"/>
  <c r="J73" i="4"/>
  <c r="I73" i="4"/>
  <c r="K73" i="4" s="1"/>
  <c r="H73" i="4"/>
  <c r="J72" i="4"/>
  <c r="I72" i="4"/>
  <c r="K72" i="4" s="1"/>
  <c r="H72" i="4"/>
  <c r="J71" i="4"/>
  <c r="I71" i="4"/>
  <c r="K71" i="4" s="1"/>
  <c r="H71" i="4"/>
  <c r="J70" i="4"/>
  <c r="I70" i="4"/>
  <c r="K70" i="4" s="1"/>
  <c r="H70" i="4"/>
  <c r="J69" i="4"/>
  <c r="I69" i="4"/>
  <c r="K69" i="4" s="1"/>
  <c r="H69" i="4"/>
  <c r="J68" i="4"/>
  <c r="I68" i="4"/>
  <c r="K68" i="4" s="1"/>
  <c r="H68" i="4"/>
  <c r="J67" i="4"/>
  <c r="I67" i="4"/>
  <c r="K67" i="4" s="1"/>
  <c r="H67" i="4"/>
  <c r="J66" i="4"/>
  <c r="I66" i="4"/>
  <c r="K66" i="4" s="1"/>
  <c r="H66" i="4"/>
  <c r="J65" i="4"/>
  <c r="I65" i="4"/>
  <c r="K65" i="4" s="1"/>
  <c r="H65" i="4"/>
  <c r="J64" i="4"/>
  <c r="I64" i="4"/>
  <c r="K64" i="4" s="1"/>
  <c r="H64" i="4"/>
  <c r="J63" i="4"/>
  <c r="I63" i="4"/>
  <c r="K63" i="4" s="1"/>
  <c r="H63" i="4"/>
  <c r="J62" i="4"/>
  <c r="I62" i="4"/>
  <c r="K62" i="4" s="1"/>
  <c r="H62" i="4"/>
  <c r="J61" i="4"/>
  <c r="I61" i="4"/>
  <c r="K61" i="4" s="1"/>
  <c r="H61" i="4"/>
  <c r="J60" i="4"/>
  <c r="I60" i="4"/>
  <c r="K60" i="4" s="1"/>
  <c r="H60" i="4"/>
  <c r="J59" i="4"/>
  <c r="I59" i="4"/>
  <c r="K59" i="4" s="1"/>
  <c r="H59" i="4"/>
  <c r="J58" i="4"/>
  <c r="I58" i="4"/>
  <c r="K58" i="4" s="1"/>
  <c r="H58" i="4"/>
  <c r="J57" i="4"/>
  <c r="I57" i="4"/>
  <c r="K57" i="4" s="1"/>
  <c r="H57" i="4"/>
  <c r="J56" i="4"/>
  <c r="I56" i="4"/>
  <c r="K56" i="4" s="1"/>
  <c r="H56" i="4"/>
  <c r="J55" i="4"/>
  <c r="I55" i="4"/>
  <c r="K55" i="4" s="1"/>
  <c r="H55" i="4"/>
  <c r="J54" i="4"/>
  <c r="I54" i="4"/>
  <c r="K54" i="4" s="1"/>
  <c r="H54" i="4"/>
  <c r="J53" i="4"/>
  <c r="I53" i="4"/>
  <c r="K53" i="4" s="1"/>
  <c r="H53" i="4"/>
  <c r="J52" i="4"/>
  <c r="I52" i="4"/>
  <c r="K52" i="4" s="1"/>
  <c r="H52" i="4"/>
  <c r="J51" i="4"/>
  <c r="I51" i="4"/>
  <c r="K51" i="4" s="1"/>
  <c r="H51" i="4"/>
  <c r="J50" i="4"/>
  <c r="I50" i="4"/>
  <c r="K50" i="4" s="1"/>
  <c r="H50" i="4"/>
  <c r="J49" i="4"/>
  <c r="I49" i="4"/>
  <c r="K49" i="4" s="1"/>
  <c r="H49" i="4"/>
  <c r="J48" i="4"/>
  <c r="I48" i="4"/>
  <c r="K48" i="4" s="1"/>
  <c r="H48" i="4"/>
  <c r="J47" i="4"/>
  <c r="I47" i="4"/>
  <c r="K47" i="4" s="1"/>
  <c r="H47" i="4"/>
  <c r="J46" i="4"/>
  <c r="I46" i="4"/>
  <c r="K46" i="4" s="1"/>
  <c r="H46" i="4"/>
  <c r="J45" i="4"/>
  <c r="I45" i="4"/>
  <c r="K45" i="4" s="1"/>
  <c r="H45" i="4"/>
  <c r="J44" i="4"/>
  <c r="I44" i="4"/>
  <c r="K44" i="4" s="1"/>
  <c r="H44" i="4"/>
  <c r="J43" i="4"/>
  <c r="I43" i="4"/>
  <c r="K43" i="4" s="1"/>
  <c r="H43" i="4"/>
  <c r="J42" i="4"/>
  <c r="I42" i="4"/>
  <c r="K42" i="4" s="1"/>
  <c r="H42" i="4"/>
  <c r="J41" i="4"/>
  <c r="I41" i="4"/>
  <c r="K41" i="4" s="1"/>
  <c r="H41" i="4"/>
  <c r="J40" i="4"/>
  <c r="I40" i="4"/>
  <c r="K40" i="4" s="1"/>
  <c r="H40" i="4"/>
  <c r="J39" i="4"/>
  <c r="I39" i="4"/>
  <c r="K39" i="4" s="1"/>
  <c r="H39" i="4"/>
  <c r="J38" i="4"/>
  <c r="I38" i="4"/>
  <c r="K38" i="4" s="1"/>
  <c r="H38" i="4"/>
  <c r="J37" i="4"/>
  <c r="I37" i="4"/>
  <c r="K37" i="4" s="1"/>
  <c r="H37" i="4"/>
  <c r="J36" i="4"/>
  <c r="I36" i="4"/>
  <c r="K36" i="4" s="1"/>
  <c r="H36" i="4"/>
  <c r="J35" i="4"/>
  <c r="I35" i="4"/>
  <c r="K35" i="4" s="1"/>
  <c r="H35" i="4"/>
  <c r="J34" i="4"/>
  <c r="I34" i="4"/>
  <c r="K34" i="4" s="1"/>
  <c r="H34" i="4"/>
  <c r="J33" i="4"/>
  <c r="I33" i="4"/>
  <c r="K33" i="4" s="1"/>
  <c r="H33" i="4"/>
  <c r="J32" i="4"/>
  <c r="I32" i="4"/>
  <c r="K32" i="4" s="1"/>
  <c r="H32" i="4"/>
  <c r="J31" i="4"/>
  <c r="I31" i="4"/>
  <c r="K31" i="4" s="1"/>
  <c r="H31" i="4"/>
  <c r="J30" i="4"/>
  <c r="I30" i="4"/>
  <c r="K30" i="4" s="1"/>
  <c r="H30" i="4"/>
  <c r="J29" i="4"/>
  <c r="I29" i="4"/>
  <c r="K29" i="4" s="1"/>
  <c r="H29" i="4"/>
  <c r="J28" i="4"/>
  <c r="I28" i="4"/>
  <c r="K28" i="4" s="1"/>
  <c r="H28" i="4"/>
  <c r="J27" i="4"/>
  <c r="I27" i="4"/>
  <c r="K27" i="4" s="1"/>
  <c r="H27" i="4"/>
  <c r="J26" i="4"/>
  <c r="I26" i="4"/>
  <c r="K26" i="4" s="1"/>
  <c r="H26" i="4"/>
  <c r="J25" i="4"/>
  <c r="I25" i="4"/>
  <c r="K25" i="4" s="1"/>
  <c r="H25" i="4"/>
  <c r="J24" i="4"/>
  <c r="I24" i="4"/>
  <c r="K24" i="4" s="1"/>
  <c r="H24" i="4"/>
  <c r="J23" i="4"/>
  <c r="I23" i="4"/>
  <c r="K23" i="4" s="1"/>
  <c r="H23" i="4"/>
  <c r="J22" i="4"/>
  <c r="I22" i="4"/>
  <c r="K22" i="4" s="1"/>
  <c r="H22" i="4"/>
  <c r="J21" i="4"/>
  <c r="I21" i="4"/>
  <c r="K21" i="4" s="1"/>
  <c r="H21" i="4"/>
  <c r="J20" i="4"/>
  <c r="I20" i="4"/>
  <c r="K20" i="4" s="1"/>
  <c r="H20" i="4"/>
  <c r="J19" i="4"/>
  <c r="I19" i="4"/>
  <c r="K19" i="4" s="1"/>
  <c r="H19" i="4"/>
  <c r="J18" i="4"/>
  <c r="I18" i="4"/>
  <c r="K18" i="4" s="1"/>
  <c r="H18" i="4"/>
  <c r="J17" i="4"/>
  <c r="I17" i="4"/>
  <c r="K17" i="4" s="1"/>
  <c r="H17" i="4"/>
  <c r="J16" i="4"/>
  <c r="I16" i="4"/>
  <c r="K16" i="4" s="1"/>
  <c r="H16" i="4"/>
  <c r="J15" i="4"/>
  <c r="I15" i="4"/>
  <c r="K15" i="4" s="1"/>
  <c r="H15" i="4"/>
  <c r="J14" i="4"/>
  <c r="I14" i="4"/>
  <c r="K14" i="4" s="1"/>
  <c r="H14" i="4"/>
  <c r="J13" i="4"/>
  <c r="I13" i="4"/>
  <c r="K13" i="4" s="1"/>
  <c r="H13" i="4"/>
  <c r="J12" i="4"/>
  <c r="I12" i="4"/>
  <c r="K12" i="4" s="1"/>
  <c r="H12" i="4"/>
  <c r="J11" i="4"/>
  <c r="I11" i="4"/>
  <c r="K11" i="4" s="1"/>
  <c r="H11" i="4"/>
  <c r="J10" i="4"/>
  <c r="I10" i="4"/>
  <c r="K10" i="4" s="1"/>
  <c r="H10" i="4"/>
  <c r="J9" i="4"/>
  <c r="I9" i="4"/>
  <c r="K9" i="4" s="1"/>
  <c r="H9" i="4"/>
  <c r="J8" i="4"/>
  <c r="I8" i="4"/>
  <c r="K8" i="4" s="1"/>
  <c r="H8" i="4"/>
  <c r="J7" i="4"/>
  <c r="I7" i="4"/>
  <c r="K7" i="4" s="1"/>
  <c r="H7" i="4"/>
  <c r="J6" i="4"/>
  <c r="I6" i="4"/>
  <c r="K6" i="4" s="1"/>
  <c r="H6" i="4"/>
  <c r="J5" i="4"/>
  <c r="I5" i="4"/>
  <c r="K5" i="4" s="1"/>
  <c r="H5" i="4"/>
  <c r="J4" i="4"/>
  <c r="I4" i="4"/>
  <c r="K4" i="4" s="1"/>
  <c r="H4" i="4"/>
  <c r="J3" i="4"/>
  <c r="O20" i="4" s="1"/>
  <c r="I3" i="4"/>
  <c r="H18" i="1"/>
  <c r="O12" i="4"/>
  <c r="N12" i="4"/>
  <c r="N3" i="4"/>
  <c r="O3" i="4"/>
  <c r="N8" i="4"/>
  <c r="N7" i="4"/>
  <c r="N6" i="4"/>
  <c r="O2" i="4"/>
  <c r="N2" i="4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73" i="1"/>
  <c r="E273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D283" i="1"/>
  <c r="E283" i="1"/>
  <c r="D284" i="1"/>
  <c r="E284" i="1"/>
  <c r="D285" i="1"/>
  <c r="E285" i="1"/>
  <c r="D286" i="1"/>
  <c r="E286" i="1"/>
  <c r="D287" i="1"/>
  <c r="E287" i="1"/>
  <c r="D288" i="1"/>
  <c r="E288" i="1"/>
  <c r="D289" i="1"/>
  <c r="E289" i="1"/>
  <c r="D290" i="1"/>
  <c r="E290" i="1"/>
  <c r="D291" i="1"/>
  <c r="E291" i="1"/>
  <c r="D292" i="1"/>
  <c r="E292" i="1"/>
  <c r="D293" i="1"/>
  <c r="E293" i="1"/>
  <c r="D294" i="1"/>
  <c r="E294" i="1"/>
  <c r="D295" i="1"/>
  <c r="E295" i="1"/>
  <c r="D296" i="1"/>
  <c r="E296" i="1"/>
  <c r="D297" i="1"/>
  <c r="E297" i="1"/>
  <c r="D298" i="1"/>
  <c r="E298" i="1"/>
  <c r="D299" i="1"/>
  <c r="E299" i="1"/>
  <c r="D300" i="1"/>
  <c r="E300" i="1"/>
  <c r="D301" i="1"/>
  <c r="E301" i="1"/>
  <c r="D302" i="1"/>
  <c r="E302" i="1"/>
  <c r="D303" i="1"/>
  <c r="E303" i="1"/>
  <c r="D304" i="1"/>
  <c r="E304" i="1"/>
  <c r="D305" i="1"/>
  <c r="E305" i="1"/>
  <c r="D306" i="1"/>
  <c r="E306" i="1"/>
  <c r="D307" i="1"/>
  <c r="E307" i="1"/>
  <c r="D308" i="1"/>
  <c r="E308" i="1"/>
  <c r="D309" i="1"/>
  <c r="E309" i="1"/>
  <c r="D310" i="1"/>
  <c r="E310" i="1"/>
  <c r="D311" i="1"/>
  <c r="E311" i="1"/>
  <c r="D312" i="1"/>
  <c r="E312" i="1"/>
  <c r="D313" i="1"/>
  <c r="E313" i="1"/>
  <c r="D314" i="1"/>
  <c r="E314" i="1"/>
  <c r="D315" i="1"/>
  <c r="E315" i="1"/>
  <c r="D316" i="1"/>
  <c r="E316" i="1"/>
  <c r="D317" i="1"/>
  <c r="E317" i="1"/>
  <c r="D318" i="1"/>
  <c r="E318" i="1"/>
  <c r="D319" i="1"/>
  <c r="E319" i="1"/>
  <c r="D320" i="1"/>
  <c r="E320" i="1"/>
  <c r="D321" i="1"/>
  <c r="E321" i="1"/>
  <c r="D322" i="1"/>
  <c r="E322" i="1"/>
  <c r="D323" i="1"/>
  <c r="E323" i="1"/>
  <c r="D324" i="1"/>
  <c r="E324" i="1"/>
  <c r="D325" i="1"/>
  <c r="E325" i="1"/>
  <c r="D326" i="1"/>
  <c r="E326" i="1"/>
  <c r="D327" i="1"/>
  <c r="E327" i="1"/>
  <c r="D328" i="1"/>
  <c r="E328" i="1"/>
  <c r="D329" i="1"/>
  <c r="E329" i="1"/>
  <c r="D330" i="1"/>
  <c r="E330" i="1"/>
  <c r="D331" i="1"/>
  <c r="E331" i="1"/>
  <c r="D332" i="1"/>
  <c r="E332" i="1"/>
  <c r="D333" i="1"/>
  <c r="E333" i="1"/>
  <c r="D334" i="1"/>
  <c r="E334" i="1"/>
  <c r="D335" i="1"/>
  <c r="E335" i="1"/>
  <c r="D336" i="1"/>
  <c r="E336" i="1"/>
  <c r="D337" i="1"/>
  <c r="E337" i="1"/>
  <c r="D338" i="1"/>
  <c r="E338" i="1"/>
  <c r="D339" i="1"/>
  <c r="E339" i="1"/>
  <c r="D340" i="1"/>
  <c r="E340" i="1"/>
  <c r="D341" i="1"/>
  <c r="E341" i="1"/>
  <c r="D342" i="1"/>
  <c r="E342" i="1"/>
  <c r="D343" i="1"/>
  <c r="E343" i="1"/>
  <c r="D344" i="1"/>
  <c r="E344" i="1"/>
  <c r="D345" i="1"/>
  <c r="E345" i="1"/>
  <c r="D346" i="1"/>
  <c r="E346" i="1"/>
  <c r="D347" i="1"/>
  <c r="E347" i="1"/>
  <c r="D348" i="1"/>
  <c r="E348" i="1"/>
  <c r="D349" i="1"/>
  <c r="E349" i="1"/>
  <c r="D350" i="1"/>
  <c r="E350" i="1"/>
  <c r="D351" i="1"/>
  <c r="E351" i="1"/>
  <c r="D352" i="1"/>
  <c r="E352" i="1"/>
  <c r="D353" i="1"/>
  <c r="E353" i="1"/>
  <c r="D354" i="1"/>
  <c r="E354" i="1"/>
  <c r="D355" i="1"/>
  <c r="E355" i="1"/>
  <c r="D356" i="1"/>
  <c r="E356" i="1"/>
  <c r="D357" i="1"/>
  <c r="E357" i="1"/>
  <c r="D358" i="1"/>
  <c r="E358" i="1"/>
  <c r="D359" i="1"/>
  <c r="E359" i="1"/>
  <c r="D360" i="1"/>
  <c r="E360" i="1"/>
  <c r="D361" i="1"/>
  <c r="E361" i="1"/>
  <c r="D362" i="1"/>
  <c r="E362" i="1"/>
  <c r="D363" i="1"/>
  <c r="E363" i="1"/>
  <c r="D364" i="1"/>
  <c r="E364" i="1"/>
  <c r="D365" i="1"/>
  <c r="E365" i="1"/>
  <c r="D366" i="1"/>
  <c r="E366" i="1"/>
  <c r="D367" i="1"/>
  <c r="E367" i="1"/>
  <c r="D368" i="1"/>
  <c r="E368" i="1"/>
  <c r="D369" i="1"/>
  <c r="E369" i="1"/>
  <c r="D370" i="1"/>
  <c r="E370" i="1"/>
  <c r="D371" i="1"/>
  <c r="E371" i="1"/>
  <c r="D372" i="1"/>
  <c r="E372" i="1"/>
  <c r="D373" i="1"/>
  <c r="E373" i="1"/>
  <c r="D374" i="1"/>
  <c r="E374" i="1"/>
  <c r="D375" i="1"/>
  <c r="E375" i="1"/>
  <c r="D376" i="1"/>
  <c r="E376" i="1"/>
  <c r="D377" i="1"/>
  <c r="E377" i="1"/>
  <c r="D378" i="1"/>
  <c r="E378" i="1"/>
  <c r="D379" i="1"/>
  <c r="E379" i="1"/>
  <c r="D380" i="1"/>
  <c r="E380" i="1"/>
  <c r="D381" i="1"/>
  <c r="E381" i="1"/>
  <c r="D382" i="1"/>
  <c r="E382" i="1"/>
  <c r="D383" i="1"/>
  <c r="E383" i="1"/>
  <c r="D384" i="1"/>
  <c r="E384" i="1"/>
  <c r="D385" i="1"/>
  <c r="E385" i="1"/>
  <c r="D386" i="1"/>
  <c r="E386" i="1"/>
  <c r="D387" i="1"/>
  <c r="E387" i="1"/>
  <c r="D388" i="1"/>
  <c r="E388" i="1"/>
  <c r="D389" i="1"/>
  <c r="E389" i="1"/>
  <c r="D390" i="1"/>
  <c r="E390" i="1"/>
  <c r="D391" i="1"/>
  <c r="E391" i="1"/>
  <c r="D392" i="1"/>
  <c r="E392" i="1"/>
  <c r="D393" i="1"/>
  <c r="E393" i="1"/>
  <c r="D394" i="1"/>
  <c r="E394" i="1"/>
  <c r="D395" i="1"/>
  <c r="E395" i="1"/>
  <c r="D396" i="1"/>
  <c r="E396" i="1"/>
  <c r="D397" i="1"/>
  <c r="E397" i="1"/>
  <c r="D398" i="1"/>
  <c r="E398" i="1"/>
  <c r="D399" i="1"/>
  <c r="E399" i="1"/>
  <c r="D400" i="1"/>
  <c r="E400" i="1"/>
  <c r="D401" i="1"/>
  <c r="E401" i="1"/>
  <c r="D402" i="1"/>
  <c r="E402" i="1"/>
  <c r="D403" i="1"/>
  <c r="E403" i="1"/>
  <c r="D404" i="1"/>
  <c r="E404" i="1"/>
  <c r="D405" i="1"/>
  <c r="E405" i="1"/>
  <c r="D406" i="1"/>
  <c r="E406" i="1"/>
  <c r="D407" i="1"/>
  <c r="E407" i="1"/>
  <c r="D408" i="1"/>
  <c r="E408" i="1"/>
  <c r="D409" i="1"/>
  <c r="E409" i="1"/>
  <c r="D410" i="1"/>
  <c r="E410" i="1"/>
  <c r="D411" i="1"/>
  <c r="E411" i="1"/>
  <c r="D412" i="1"/>
  <c r="E412" i="1"/>
  <c r="D413" i="1"/>
  <c r="E413" i="1"/>
  <c r="D414" i="1"/>
  <c r="E414" i="1"/>
  <c r="D415" i="1"/>
  <c r="E415" i="1"/>
  <c r="D416" i="1"/>
  <c r="E416" i="1"/>
  <c r="D417" i="1"/>
  <c r="E417" i="1"/>
  <c r="D418" i="1"/>
  <c r="E418" i="1"/>
  <c r="D419" i="1"/>
  <c r="E419" i="1"/>
  <c r="D420" i="1"/>
  <c r="E420" i="1"/>
  <c r="D421" i="1"/>
  <c r="E421" i="1"/>
  <c r="D422" i="1"/>
  <c r="E422" i="1"/>
  <c r="D423" i="1"/>
  <c r="E423" i="1"/>
  <c r="D424" i="1"/>
  <c r="E424" i="1"/>
  <c r="D425" i="1"/>
  <c r="E425" i="1"/>
  <c r="D426" i="1"/>
  <c r="E426" i="1"/>
  <c r="D427" i="1"/>
  <c r="E427" i="1"/>
  <c r="D428" i="1"/>
  <c r="E428" i="1"/>
  <c r="D429" i="1"/>
  <c r="E429" i="1"/>
  <c r="D430" i="1"/>
  <c r="E430" i="1"/>
  <c r="D431" i="1"/>
  <c r="E431" i="1"/>
  <c r="D432" i="1"/>
  <c r="E432" i="1"/>
  <c r="D433" i="1"/>
  <c r="E433" i="1"/>
  <c r="D434" i="1"/>
  <c r="E434" i="1"/>
  <c r="D435" i="1"/>
  <c r="E435" i="1"/>
  <c r="D436" i="1"/>
  <c r="E436" i="1"/>
  <c r="D437" i="1"/>
  <c r="E437" i="1"/>
  <c r="D438" i="1"/>
  <c r="E438" i="1"/>
  <c r="D439" i="1"/>
  <c r="E439" i="1"/>
  <c r="D440" i="1"/>
  <c r="E440" i="1"/>
  <c r="D441" i="1"/>
  <c r="E441" i="1"/>
  <c r="D442" i="1"/>
  <c r="E442" i="1"/>
  <c r="D443" i="1"/>
  <c r="E443" i="1"/>
  <c r="D444" i="1"/>
  <c r="E444" i="1"/>
  <c r="D445" i="1"/>
  <c r="E445" i="1"/>
  <c r="D446" i="1"/>
  <c r="E446" i="1"/>
  <c r="D447" i="1"/>
  <c r="E447" i="1"/>
  <c r="D448" i="1"/>
  <c r="E448" i="1"/>
  <c r="D449" i="1"/>
  <c r="E449" i="1"/>
  <c r="D450" i="1"/>
  <c r="E450" i="1"/>
  <c r="D451" i="1"/>
  <c r="E451" i="1"/>
  <c r="D452" i="1"/>
  <c r="E452" i="1"/>
  <c r="D453" i="1"/>
  <c r="E453" i="1"/>
  <c r="D454" i="1"/>
  <c r="E454" i="1"/>
  <c r="D455" i="1"/>
  <c r="E455" i="1"/>
  <c r="D456" i="1"/>
  <c r="E456" i="1"/>
  <c r="D457" i="1"/>
  <c r="E457" i="1"/>
  <c r="D458" i="1"/>
  <c r="E458" i="1"/>
  <c r="D459" i="1"/>
  <c r="E459" i="1"/>
  <c r="D460" i="1"/>
  <c r="E460" i="1"/>
  <c r="D461" i="1"/>
  <c r="E461" i="1"/>
  <c r="D462" i="1"/>
  <c r="E462" i="1"/>
  <c r="D463" i="1"/>
  <c r="E463" i="1"/>
  <c r="D464" i="1"/>
  <c r="E464" i="1"/>
  <c r="D465" i="1"/>
  <c r="E465" i="1"/>
  <c r="D466" i="1"/>
  <c r="E466" i="1"/>
  <c r="D467" i="1"/>
  <c r="E467" i="1"/>
  <c r="D468" i="1"/>
  <c r="E468" i="1"/>
  <c r="D469" i="1"/>
  <c r="E469" i="1"/>
  <c r="D470" i="1"/>
  <c r="E470" i="1"/>
  <c r="D471" i="1"/>
  <c r="E471" i="1"/>
  <c r="D472" i="1"/>
  <c r="E472" i="1"/>
  <c r="D473" i="1"/>
  <c r="E473" i="1"/>
  <c r="D474" i="1"/>
  <c r="E474" i="1"/>
  <c r="D475" i="1"/>
  <c r="E475" i="1"/>
  <c r="D476" i="1"/>
  <c r="E476" i="1"/>
  <c r="D477" i="1"/>
  <c r="E477" i="1"/>
  <c r="D478" i="1"/>
  <c r="E478" i="1"/>
  <c r="D479" i="1"/>
  <c r="E479" i="1"/>
  <c r="D480" i="1"/>
  <c r="E480" i="1"/>
  <c r="D481" i="1"/>
  <c r="E481" i="1"/>
  <c r="D482" i="1"/>
  <c r="E482" i="1"/>
  <c r="D483" i="1"/>
  <c r="E483" i="1"/>
  <c r="D484" i="1"/>
  <c r="E484" i="1"/>
  <c r="D485" i="1"/>
  <c r="E485" i="1"/>
  <c r="D486" i="1"/>
  <c r="E486" i="1"/>
  <c r="D487" i="1"/>
  <c r="E487" i="1"/>
  <c r="D488" i="1"/>
  <c r="E488" i="1"/>
  <c r="D489" i="1"/>
  <c r="E489" i="1"/>
  <c r="D490" i="1"/>
  <c r="E490" i="1"/>
  <c r="D491" i="1"/>
  <c r="E491" i="1"/>
  <c r="D492" i="1"/>
  <c r="E492" i="1"/>
  <c r="D493" i="1"/>
  <c r="E493" i="1"/>
  <c r="D494" i="1"/>
  <c r="E494" i="1"/>
  <c r="D495" i="1"/>
  <c r="E495" i="1"/>
  <c r="D496" i="1"/>
  <c r="E496" i="1"/>
  <c r="D497" i="1"/>
  <c r="E497" i="1"/>
  <c r="D498" i="1"/>
  <c r="E498" i="1"/>
  <c r="D499" i="1"/>
  <c r="E499" i="1"/>
  <c r="D500" i="1"/>
  <c r="E500" i="1"/>
  <c r="D501" i="1"/>
  <c r="E501" i="1"/>
  <c r="D502" i="1"/>
  <c r="E502" i="1"/>
  <c r="D503" i="1"/>
  <c r="E503" i="1"/>
  <c r="D504" i="1"/>
  <c r="E504" i="1"/>
  <c r="D505" i="1"/>
  <c r="E505" i="1"/>
  <c r="D506" i="1"/>
  <c r="E506" i="1"/>
  <c r="D507" i="1"/>
  <c r="E507" i="1"/>
  <c r="D508" i="1"/>
  <c r="E508" i="1"/>
  <c r="D509" i="1"/>
  <c r="E509" i="1"/>
  <c r="D510" i="1"/>
  <c r="E510" i="1"/>
  <c r="D511" i="1"/>
  <c r="E511" i="1"/>
  <c r="D512" i="1"/>
  <c r="E512" i="1"/>
  <c r="D513" i="1"/>
  <c r="E513" i="1"/>
  <c r="D514" i="1"/>
  <c r="E514" i="1"/>
  <c r="D515" i="1"/>
  <c r="E515" i="1"/>
  <c r="D516" i="1"/>
  <c r="E516" i="1"/>
  <c r="D517" i="1"/>
  <c r="E517" i="1"/>
  <c r="D518" i="1"/>
  <c r="E518" i="1"/>
  <c r="D519" i="1"/>
  <c r="E519" i="1"/>
  <c r="D520" i="1"/>
  <c r="E520" i="1"/>
  <c r="D521" i="1"/>
  <c r="E521" i="1"/>
  <c r="D522" i="1"/>
  <c r="E522" i="1"/>
  <c r="D523" i="1"/>
  <c r="E523" i="1"/>
  <c r="I42" i="1"/>
  <c r="J43" i="1"/>
  <c r="I19" i="1"/>
  <c r="I18" i="1"/>
  <c r="K163" i="4" l="1"/>
  <c r="K146" i="4"/>
  <c r="K162" i="4"/>
  <c r="K138" i="4"/>
  <c r="K150" i="4"/>
  <c r="K139" i="4"/>
  <c r="K262" i="4"/>
  <c r="K461" i="4"/>
  <c r="N25" i="4" a="1"/>
  <c r="N24" i="4" a="1"/>
  <c r="N348" i="4" a="1"/>
  <c r="K3" i="4"/>
  <c r="N21" i="4" s="1"/>
  <c r="M27" i="4"/>
  <c r="N26" i="4" a="1"/>
  <c r="O16" i="4"/>
  <c r="O17" i="4" s="1"/>
  <c r="N17" i="4"/>
  <c r="O14" i="4"/>
  <c r="N13" i="4"/>
  <c r="N14" i="4" s="1"/>
  <c r="N15" i="4" s="1"/>
  <c r="G201" i="4"/>
  <c r="G523" i="4"/>
  <c r="G189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505" i="4"/>
  <c r="G21" i="4"/>
  <c r="G504" i="4"/>
  <c r="G22" i="4"/>
  <c r="G503" i="4"/>
  <c r="G23" i="4"/>
  <c r="G502" i="4"/>
  <c r="G24" i="4"/>
  <c r="G501" i="4"/>
  <c r="G25" i="4"/>
  <c r="G500" i="4"/>
  <c r="G26" i="4"/>
  <c r="G499" i="4"/>
  <c r="G27" i="4"/>
  <c r="G498" i="4"/>
  <c r="G28" i="4"/>
  <c r="G497" i="4"/>
  <c r="G29" i="4"/>
  <c r="G496" i="4"/>
  <c r="G30" i="4"/>
  <c r="G495" i="4"/>
  <c r="G31" i="4"/>
  <c r="G494" i="4"/>
  <c r="G32" i="4"/>
  <c r="G493" i="4"/>
  <c r="G33" i="4"/>
  <c r="G492" i="4"/>
  <c r="G34" i="4"/>
  <c r="G491" i="4"/>
  <c r="G35" i="4"/>
  <c r="G490" i="4"/>
  <c r="G36" i="4"/>
  <c r="G489" i="4"/>
  <c r="G37" i="4"/>
  <c r="G488" i="4"/>
  <c r="G38" i="4"/>
  <c r="G487" i="4"/>
  <c r="G39" i="4"/>
  <c r="G486" i="4"/>
  <c r="G40" i="4"/>
  <c r="G485" i="4"/>
  <c r="G41" i="4"/>
  <c r="G484" i="4"/>
  <c r="G42" i="4"/>
  <c r="G483" i="4"/>
  <c r="G43" i="4"/>
  <c r="G482" i="4"/>
  <c r="G44" i="4"/>
  <c r="G481" i="4"/>
  <c r="G45" i="4"/>
  <c r="G480" i="4"/>
  <c r="G46" i="4"/>
  <c r="G479" i="4"/>
  <c r="G47" i="4"/>
  <c r="G478" i="4"/>
  <c r="G48" i="4"/>
  <c r="G477" i="4"/>
  <c r="G49" i="4"/>
  <c r="G476" i="4"/>
  <c r="G50" i="4"/>
  <c r="G475" i="4"/>
  <c r="G51" i="4"/>
  <c r="G474" i="4"/>
  <c r="G52" i="4"/>
  <c r="G473" i="4"/>
  <c r="G53" i="4"/>
  <c r="G472" i="4"/>
  <c r="G54" i="4"/>
  <c r="G471" i="4"/>
  <c r="G55" i="4"/>
  <c r="G470" i="4"/>
  <c r="G56" i="4"/>
  <c r="G469" i="4"/>
  <c r="G57" i="4"/>
  <c r="G468" i="4"/>
  <c r="G58" i="4"/>
  <c r="G467" i="4"/>
  <c r="G59" i="4"/>
  <c r="G466" i="4"/>
  <c r="G60" i="4"/>
  <c r="G465" i="4"/>
  <c r="G61" i="4"/>
  <c r="G464" i="4"/>
  <c r="G62" i="4"/>
  <c r="G463" i="4"/>
  <c r="G63" i="4"/>
  <c r="G462" i="4"/>
  <c r="G64" i="4"/>
  <c r="G461" i="4"/>
  <c r="G65" i="4"/>
  <c r="G460" i="4"/>
  <c r="G66" i="4"/>
  <c r="G459" i="4"/>
  <c r="G67" i="4"/>
  <c r="G458" i="4"/>
  <c r="G68" i="4"/>
  <c r="G457" i="4"/>
  <c r="G69" i="4"/>
  <c r="G456" i="4"/>
  <c r="G70" i="4"/>
  <c r="G455" i="4"/>
  <c r="G71" i="4"/>
  <c r="G454" i="4"/>
  <c r="G72" i="4"/>
  <c r="G453" i="4"/>
  <c r="G73" i="4"/>
  <c r="G452" i="4"/>
  <c r="G74" i="4"/>
  <c r="G209" i="4"/>
  <c r="G203" i="4"/>
  <c r="G75" i="4"/>
  <c r="G76" i="4"/>
  <c r="G200" i="4"/>
  <c r="G77" i="4"/>
  <c r="G199" i="4"/>
  <c r="G196" i="4"/>
  <c r="G78" i="4"/>
  <c r="G195" i="4"/>
  <c r="G79" i="4"/>
  <c r="G191" i="4"/>
  <c r="G188" i="4"/>
  <c r="G80" i="4"/>
  <c r="G187" i="4"/>
  <c r="G185" i="4"/>
  <c r="G81" i="4"/>
  <c r="G181" i="4"/>
  <c r="G82" i="4"/>
  <c r="G177" i="4"/>
  <c r="G83" i="4"/>
  <c r="G84" i="4"/>
  <c r="G175" i="4"/>
  <c r="G85" i="4"/>
  <c r="G166" i="4"/>
  <c r="G86" i="4"/>
  <c r="G87" i="4"/>
  <c r="G88" i="4"/>
  <c r="G151" i="4"/>
  <c r="G93" i="4"/>
  <c r="G146" i="4"/>
  <c r="G139" i="4"/>
  <c r="G91" i="4"/>
  <c r="G306" i="4"/>
  <c r="G143" i="4"/>
  <c r="G95" i="4"/>
  <c r="G98" i="4"/>
  <c r="G136" i="4"/>
  <c r="G101" i="4"/>
  <c r="G135" i="4"/>
  <c r="G128" i="4"/>
  <c r="G103" i="4"/>
  <c r="G125" i="4"/>
  <c r="G104" i="4"/>
  <c r="G105" i="4"/>
  <c r="G122" i="4"/>
  <c r="G106" i="4"/>
  <c r="G120" i="4"/>
  <c r="G116" i="4"/>
  <c r="G107" i="4"/>
  <c r="G115" i="4"/>
  <c r="G108" i="4"/>
  <c r="G114" i="4"/>
  <c r="G110" i="4"/>
  <c r="G113" i="4"/>
  <c r="G118" i="4"/>
  <c r="G109" i="4"/>
  <c r="G121" i="4"/>
  <c r="G129" i="4"/>
  <c r="G100" i="4"/>
  <c r="G133" i="4"/>
  <c r="G97" i="4"/>
  <c r="G137" i="4"/>
  <c r="G96" i="4"/>
  <c r="G138" i="4"/>
  <c r="G94" i="4"/>
  <c r="G144" i="4"/>
  <c r="G145" i="4"/>
  <c r="G89" i="4"/>
  <c r="G147" i="4"/>
  <c r="G451" i="4"/>
  <c r="G148" i="4"/>
  <c r="G450" i="4"/>
  <c r="G149" i="4"/>
  <c r="G449" i="4"/>
  <c r="G150" i="4"/>
  <c r="G448" i="4"/>
  <c r="G152" i="4"/>
  <c r="G447" i="4"/>
  <c r="G153" i="4"/>
  <c r="G446" i="4"/>
  <c r="G154" i="4"/>
  <c r="G445" i="4"/>
  <c r="G155" i="4"/>
  <c r="G444" i="4"/>
  <c r="G156" i="4"/>
  <c r="G443" i="4"/>
  <c r="G160" i="4"/>
  <c r="G442" i="4"/>
  <c r="G161" i="4"/>
  <c r="G441" i="4"/>
  <c r="G162" i="4"/>
  <c r="G440" i="4"/>
  <c r="G164" i="4"/>
  <c r="G439" i="4"/>
  <c r="G165" i="4"/>
  <c r="G438" i="4"/>
  <c r="G170" i="4"/>
  <c r="G437" i="4"/>
  <c r="G172" i="4"/>
  <c r="G436" i="4"/>
  <c r="G173" i="4"/>
  <c r="G435" i="4"/>
  <c r="G174" i="4"/>
  <c r="G434" i="4"/>
  <c r="G176" i="4"/>
  <c r="G433" i="4"/>
  <c r="G178" i="4"/>
  <c r="G432" i="4"/>
  <c r="G180" i="4"/>
  <c r="G431" i="4"/>
  <c r="G183" i="4"/>
  <c r="G430" i="4"/>
  <c r="G184" i="4"/>
  <c r="G429" i="4"/>
  <c r="G186" i="4"/>
  <c r="G428" i="4"/>
  <c r="G204" i="4"/>
  <c r="G427" i="4"/>
  <c r="G192" i="4"/>
  <c r="G426" i="4"/>
  <c r="G193" i="4"/>
  <c r="G425" i="4"/>
  <c r="G194" i="4"/>
  <c r="G424" i="4"/>
  <c r="G202" i="4"/>
  <c r="G423" i="4"/>
  <c r="G205" i="4"/>
  <c r="G422" i="4"/>
  <c r="G206" i="4"/>
  <c r="G421" i="4"/>
  <c r="G210" i="4"/>
  <c r="G420" i="4"/>
  <c r="G211" i="4"/>
  <c r="G419" i="4"/>
  <c r="G212" i="4"/>
  <c r="G418" i="4"/>
  <c r="G213" i="4"/>
  <c r="G417" i="4"/>
  <c r="G215" i="4"/>
  <c r="G416" i="4"/>
  <c r="G234" i="4"/>
  <c r="G415" i="4"/>
  <c r="G236" i="4"/>
  <c r="G414" i="4"/>
  <c r="G237" i="4"/>
  <c r="G413" i="4"/>
  <c r="G239" i="4"/>
  <c r="G412" i="4"/>
  <c r="G240" i="4"/>
  <c r="G411" i="4"/>
  <c r="G241" i="4"/>
  <c r="G410" i="4"/>
  <c r="G242" i="4"/>
  <c r="G409" i="4"/>
  <c r="G244" i="4"/>
  <c r="G408" i="4"/>
  <c r="G245" i="4"/>
  <c r="G407" i="4"/>
  <c r="G246" i="4"/>
  <c r="G406" i="4"/>
  <c r="G249" i="4"/>
  <c r="G405" i="4"/>
  <c r="G250" i="4"/>
  <c r="G404" i="4"/>
  <c r="G253" i="4"/>
  <c r="G403" i="4"/>
  <c r="G260" i="4"/>
  <c r="G402" i="4"/>
  <c r="G262" i="4"/>
  <c r="G401" i="4"/>
  <c r="G263" i="4"/>
  <c r="G400" i="4"/>
  <c r="G264" i="4"/>
  <c r="G399" i="4"/>
  <c r="G267" i="4"/>
  <c r="G398" i="4"/>
  <c r="G268" i="4"/>
  <c r="G397" i="4"/>
  <c r="G270" i="4"/>
  <c r="G396" i="4"/>
  <c r="G271" i="4"/>
  <c r="G395" i="4"/>
  <c r="G272" i="4"/>
  <c r="G394" i="4"/>
  <c r="G273" i="4"/>
  <c r="G393" i="4"/>
  <c r="G274" i="4"/>
  <c r="G392" i="4"/>
  <c r="G275" i="4"/>
  <c r="G391" i="4"/>
  <c r="G276" i="4"/>
  <c r="G390" i="4"/>
  <c r="G277" i="4"/>
  <c r="G389" i="4"/>
  <c r="G278" i="4"/>
  <c r="G388" i="4"/>
  <c r="G279" i="4"/>
  <c r="G387" i="4"/>
  <c r="G280" i="4"/>
  <c r="G386" i="4"/>
  <c r="G281" i="4"/>
  <c r="G385" i="4"/>
  <c r="G282" i="4"/>
  <c r="G384" i="4"/>
  <c r="G283" i="4"/>
  <c r="G383" i="4"/>
  <c r="G284" i="4"/>
  <c r="G382" i="4"/>
  <c r="G285" i="4"/>
  <c r="G381" i="4"/>
  <c r="G286" i="4"/>
  <c r="G380" i="4"/>
  <c r="G287" i="4"/>
  <c r="G379" i="4"/>
  <c r="G342" i="4"/>
  <c r="G288" i="4"/>
  <c r="G339" i="4"/>
  <c r="G290" i="4"/>
  <c r="G338" i="4"/>
  <c r="G293" i="4"/>
  <c r="G337" i="4"/>
  <c r="G294" i="4"/>
  <c r="G298" i="4"/>
  <c r="G334" i="4"/>
  <c r="G329" i="4"/>
  <c r="G330" i="4"/>
  <c r="G331" i="4"/>
  <c r="G332" i="4"/>
  <c r="G333" i="4"/>
  <c r="G328" i="4"/>
  <c r="G335" i="4"/>
  <c r="G327" i="4"/>
  <c r="G336" i="4"/>
  <c r="G326" i="4"/>
  <c r="G340" i="4"/>
  <c r="G325" i="4"/>
  <c r="G341" i="4"/>
  <c r="G324" i="4"/>
  <c r="G343" i="4"/>
  <c r="G323" i="4"/>
  <c r="G344" i="4"/>
  <c r="G322" i="4"/>
  <c r="G345" i="4"/>
  <c r="G321" i="4"/>
  <c r="G346" i="4"/>
  <c r="G320" i="4"/>
  <c r="G347" i="4"/>
  <c r="G319" i="4"/>
  <c r="G348" i="4"/>
  <c r="G318" i="4"/>
  <c r="G349" i="4"/>
  <c r="G317" i="4"/>
  <c r="G350" i="4"/>
  <c r="G316" i="4"/>
  <c r="G351" i="4"/>
  <c r="G315" i="4"/>
  <c r="G352" i="4"/>
  <c r="G314" i="4"/>
  <c r="G353" i="4"/>
  <c r="G313" i="4"/>
  <c r="G354" i="4"/>
  <c r="G312" i="4"/>
  <c r="G355" i="4"/>
  <c r="G311" i="4"/>
  <c r="G356" i="4"/>
  <c r="G310" i="4"/>
  <c r="G357" i="4"/>
  <c r="G309" i="4"/>
  <c r="G358" i="4"/>
  <c r="G308" i="4"/>
  <c r="G359" i="4"/>
  <c r="G307" i="4"/>
  <c r="G360" i="4"/>
  <c r="G361" i="4"/>
  <c r="G305" i="4"/>
  <c r="G362" i="4"/>
  <c r="G304" i="4"/>
  <c r="G363" i="4"/>
  <c r="G303" i="4"/>
  <c r="G364" i="4"/>
  <c r="G302" i="4"/>
  <c r="G301" i="4"/>
  <c r="G365" i="4"/>
  <c r="G300" i="4"/>
  <c r="G299" i="4"/>
  <c r="G366" i="4"/>
  <c r="G297" i="4"/>
  <c r="G367" i="4"/>
  <c r="G296" i="4"/>
  <c r="G295" i="4"/>
  <c r="G292" i="4"/>
  <c r="G368" i="4"/>
  <c r="G291" i="4"/>
  <c r="G289" i="4"/>
  <c r="G369" i="4"/>
  <c r="G370" i="4"/>
  <c r="G371" i="4"/>
  <c r="G372" i="4"/>
  <c r="G373" i="4"/>
  <c r="G374" i="4"/>
  <c r="G375" i="4"/>
  <c r="G376" i="4"/>
  <c r="G269" i="4"/>
  <c r="G377" i="4"/>
  <c r="G378" i="4"/>
  <c r="G266" i="4"/>
  <c r="G90" i="4"/>
  <c r="G265" i="4"/>
  <c r="G261" i="4"/>
  <c r="G259" i="4"/>
  <c r="G258" i="4"/>
  <c r="G92" i="4"/>
  <c r="G257" i="4"/>
  <c r="G99" i="4"/>
  <c r="G256" i="4"/>
  <c r="G255" i="4"/>
  <c r="G254" i="4"/>
  <c r="G102" i="4"/>
  <c r="G252" i="4"/>
  <c r="G251" i="4"/>
  <c r="G248" i="4"/>
  <c r="G247" i="4"/>
  <c r="G111" i="4"/>
  <c r="G243" i="4"/>
  <c r="G112" i="4"/>
  <c r="G117" i="4"/>
  <c r="G119" i="4"/>
  <c r="G238" i="4"/>
  <c r="G123" i="4"/>
  <c r="G124" i="4"/>
  <c r="G126" i="4"/>
  <c r="G235" i="4"/>
  <c r="G127" i="4"/>
  <c r="G233" i="4"/>
  <c r="G130" i="4"/>
  <c r="G232" i="4"/>
  <c r="G131" i="4"/>
  <c r="G231" i="4"/>
  <c r="G132" i="4"/>
  <c r="G230" i="4"/>
  <c r="G134" i="4"/>
  <c r="G229" i="4"/>
  <c r="G140" i="4"/>
  <c r="G228" i="4"/>
  <c r="G141" i="4"/>
  <c r="G227" i="4"/>
  <c r="G142" i="4"/>
  <c r="G226" i="4"/>
  <c r="G157" i="4"/>
  <c r="G225" i="4"/>
  <c r="G158" i="4"/>
  <c r="G224" i="4"/>
  <c r="G159" i="4"/>
  <c r="G223" i="4"/>
  <c r="G163" i="4"/>
  <c r="G222" i="4"/>
  <c r="G167" i="4"/>
  <c r="G221" i="4"/>
  <c r="G168" i="4"/>
  <c r="G220" i="4"/>
  <c r="G169" i="4"/>
  <c r="G219" i="4"/>
  <c r="G171" i="4"/>
  <c r="G218" i="4"/>
  <c r="G179" i="4"/>
  <c r="G217" i="4"/>
  <c r="G216" i="4"/>
  <c r="G182" i="4"/>
  <c r="G214" i="4"/>
  <c r="G190" i="4"/>
  <c r="G197" i="4"/>
  <c r="G198" i="4"/>
  <c r="G208" i="4"/>
  <c r="G522" i="4"/>
  <c r="G207" i="4"/>
  <c r="G3" i="4"/>
  <c r="F204" i="4"/>
  <c r="F3" i="4"/>
  <c r="F199" i="4"/>
  <c r="F209" i="4"/>
  <c r="F198" i="4"/>
  <c r="F212" i="4"/>
  <c r="F197" i="4"/>
  <c r="F195" i="4"/>
  <c r="F191" i="4"/>
  <c r="F214" i="4"/>
  <c r="F190" i="4"/>
  <c r="F183" i="4"/>
  <c r="F215" i="4"/>
  <c r="F182" i="4"/>
  <c r="F180" i="4"/>
  <c r="F218" i="4"/>
  <c r="F172" i="4"/>
  <c r="F219" i="4"/>
  <c r="F220" i="4"/>
  <c r="F169" i="4"/>
  <c r="F221" i="4"/>
  <c r="F222" i="4"/>
  <c r="F167" i="4"/>
  <c r="F164" i="4"/>
  <c r="F223" i="4"/>
  <c r="F163" i="4"/>
  <c r="F160" i="4"/>
  <c r="F224" i="4"/>
  <c r="F159" i="4"/>
  <c r="F225" i="4"/>
  <c r="F158" i="4"/>
  <c r="F226" i="4"/>
  <c r="F157" i="4"/>
  <c r="F143" i="4"/>
  <c r="F227" i="4"/>
  <c r="F142" i="4"/>
  <c r="F228" i="4"/>
  <c r="F141" i="4"/>
  <c r="F229" i="4"/>
  <c r="F135" i="4"/>
  <c r="F230" i="4"/>
  <c r="F134" i="4"/>
  <c r="F231" i="4"/>
  <c r="F132" i="4"/>
  <c r="F232" i="4"/>
  <c r="F233" i="4"/>
  <c r="F130" i="4"/>
  <c r="F234" i="4"/>
  <c r="F127" i="4"/>
  <c r="F236" i="4"/>
  <c r="F126" i="4"/>
  <c r="F237" i="4"/>
  <c r="F124" i="4"/>
  <c r="F238" i="4"/>
  <c r="F120" i="4"/>
  <c r="F239" i="4"/>
  <c r="F240" i="4"/>
  <c r="F117" i="4"/>
  <c r="F113" i="4"/>
  <c r="F243" i="4"/>
  <c r="F244" i="4"/>
  <c r="F253" i="4"/>
  <c r="F100" i="4"/>
  <c r="F257" i="4"/>
  <c r="F99" i="4"/>
  <c r="F93" i="4"/>
  <c r="F258" i="4"/>
  <c r="F266" i="4"/>
  <c r="F379" i="4"/>
  <c r="F268" i="4"/>
  <c r="F378" i="4"/>
  <c r="F269" i="4"/>
  <c r="F377" i="4"/>
  <c r="F270" i="4"/>
  <c r="F376" i="4"/>
  <c r="F271" i="4"/>
  <c r="F375" i="4"/>
  <c r="F272" i="4"/>
  <c r="F374" i="4"/>
  <c r="F278" i="4"/>
  <c r="F373" i="4"/>
  <c r="F279" i="4"/>
  <c r="F372" i="4"/>
  <c r="F287" i="4"/>
  <c r="F371" i="4"/>
  <c r="F288" i="4"/>
  <c r="F370" i="4"/>
  <c r="F289" i="4"/>
  <c r="F369" i="4"/>
  <c r="F292" i="4"/>
  <c r="F368" i="4"/>
  <c r="F297" i="4"/>
  <c r="F367" i="4"/>
  <c r="F298" i="4"/>
  <c r="F366" i="4"/>
  <c r="F301" i="4"/>
  <c r="F365" i="4"/>
  <c r="F303" i="4"/>
  <c r="F364" i="4"/>
  <c r="F304" i="4"/>
  <c r="F363" i="4"/>
  <c r="F305" i="4"/>
  <c r="F362" i="4"/>
  <c r="F306" i="4"/>
  <c r="F361" i="4"/>
  <c r="F307" i="4"/>
  <c r="F360" i="4"/>
  <c r="F308" i="4"/>
  <c r="F359" i="4"/>
  <c r="F309" i="4"/>
  <c r="F358" i="4"/>
  <c r="F310" i="4"/>
  <c r="F357" i="4"/>
  <c r="F311" i="4"/>
  <c r="F356" i="4"/>
  <c r="F312" i="4"/>
  <c r="F355" i="4"/>
  <c r="F313" i="4"/>
  <c r="F354" i="4"/>
  <c r="F314" i="4"/>
  <c r="F353" i="4"/>
  <c r="F315" i="4"/>
  <c r="F352" i="4"/>
  <c r="F316" i="4"/>
  <c r="F351" i="4"/>
  <c r="F317" i="4"/>
  <c r="F350" i="4"/>
  <c r="F318" i="4"/>
  <c r="F349" i="4"/>
  <c r="F319" i="4"/>
  <c r="F348" i="4"/>
  <c r="F320" i="4"/>
  <c r="F347" i="4"/>
  <c r="F321" i="4"/>
  <c r="F346" i="4"/>
  <c r="F322" i="4"/>
  <c r="F345" i="4"/>
  <c r="F323" i="4"/>
  <c r="F344" i="4"/>
  <c r="F324" i="4"/>
  <c r="F343" i="4"/>
  <c r="F342" i="4"/>
  <c r="F325" i="4"/>
  <c r="F341" i="4"/>
  <c r="F326" i="4"/>
  <c r="F327" i="4"/>
  <c r="F336" i="4"/>
  <c r="F328" i="4"/>
  <c r="F329" i="4"/>
  <c r="F333" i="4"/>
  <c r="F331" i="4"/>
  <c r="F332" i="4"/>
  <c r="F330" i="4"/>
  <c r="F334" i="4"/>
  <c r="F302" i="4"/>
  <c r="F300" i="4"/>
  <c r="F299" i="4"/>
  <c r="F335" i="4"/>
  <c r="F296" i="4"/>
  <c r="F295" i="4"/>
  <c r="F337" i="4"/>
  <c r="F294" i="4"/>
  <c r="F338" i="4"/>
  <c r="F293" i="4"/>
  <c r="F291" i="4"/>
  <c r="F339" i="4"/>
  <c r="F290" i="4"/>
  <c r="F340" i="4"/>
  <c r="F380" i="4"/>
  <c r="F381" i="4"/>
  <c r="F286" i="4"/>
  <c r="F382" i="4"/>
  <c r="F285" i="4"/>
  <c r="F383" i="4"/>
  <c r="F284" i="4"/>
  <c r="F384" i="4"/>
  <c r="F283" i="4"/>
  <c r="F385" i="4"/>
  <c r="F282" i="4"/>
  <c r="F386" i="4"/>
  <c r="F281" i="4"/>
  <c r="F387" i="4"/>
  <c r="F280" i="4"/>
  <c r="F388" i="4"/>
  <c r="F389" i="4"/>
  <c r="F390" i="4"/>
  <c r="F277" i="4"/>
  <c r="F391" i="4"/>
  <c r="F276" i="4"/>
  <c r="F392" i="4"/>
  <c r="F275" i="4"/>
  <c r="F393" i="4"/>
  <c r="F274" i="4"/>
  <c r="F394" i="4"/>
  <c r="F273" i="4"/>
  <c r="F395" i="4"/>
  <c r="F396" i="4"/>
  <c r="F397" i="4"/>
  <c r="F398" i="4"/>
  <c r="F399" i="4"/>
  <c r="F267" i="4"/>
  <c r="F265" i="4"/>
  <c r="F400" i="4"/>
  <c r="F264" i="4"/>
  <c r="F401" i="4"/>
  <c r="F263" i="4"/>
  <c r="F402" i="4"/>
  <c r="F262" i="4"/>
  <c r="F261" i="4"/>
  <c r="F403" i="4"/>
  <c r="F260" i="4"/>
  <c r="F259" i="4"/>
  <c r="F256" i="4"/>
  <c r="F255" i="4"/>
  <c r="F254" i="4"/>
  <c r="F404" i="4"/>
  <c r="F252" i="4"/>
  <c r="F251" i="4"/>
  <c r="F405" i="4"/>
  <c r="F250" i="4"/>
  <c r="F406" i="4"/>
  <c r="F249" i="4"/>
  <c r="F248" i="4"/>
  <c r="F247" i="4"/>
  <c r="F407" i="4"/>
  <c r="F246" i="4"/>
  <c r="F408" i="4"/>
  <c r="F245" i="4"/>
  <c r="F409" i="4"/>
  <c r="F410" i="4"/>
  <c r="F242" i="4"/>
  <c r="F411" i="4"/>
  <c r="F241" i="4"/>
  <c r="F412" i="4"/>
  <c r="F413" i="4"/>
  <c r="F414" i="4"/>
  <c r="F415" i="4"/>
  <c r="F235" i="4"/>
  <c r="F416" i="4"/>
  <c r="F217" i="4"/>
  <c r="F216" i="4"/>
  <c r="F417" i="4"/>
  <c r="F418" i="4"/>
  <c r="F213" i="4"/>
  <c r="F419" i="4"/>
  <c r="F420" i="4"/>
  <c r="F211" i="4"/>
  <c r="F421" i="4"/>
  <c r="F210" i="4"/>
  <c r="F207" i="4"/>
  <c r="F422" i="4"/>
  <c r="F206" i="4"/>
  <c r="F423" i="4"/>
  <c r="F205" i="4"/>
  <c r="F424" i="4"/>
  <c r="F202" i="4"/>
  <c r="F425" i="4"/>
  <c r="F194" i="4"/>
  <c r="F426" i="4"/>
  <c r="F193" i="4"/>
  <c r="F427" i="4"/>
  <c r="F208" i="4"/>
  <c r="F189" i="4"/>
  <c r="F187" i="4"/>
  <c r="F429" i="4"/>
  <c r="F186" i="4"/>
  <c r="F430" i="4"/>
  <c r="F184" i="4"/>
  <c r="F431" i="4"/>
  <c r="F432" i="4"/>
  <c r="F179" i="4"/>
  <c r="F433" i="4"/>
  <c r="F178" i="4"/>
  <c r="F434" i="4"/>
  <c r="F435" i="4"/>
  <c r="F174" i="4"/>
  <c r="F436" i="4"/>
  <c r="F173" i="4"/>
  <c r="F437" i="4"/>
  <c r="F171" i="4"/>
  <c r="F438" i="4"/>
  <c r="F170" i="4"/>
  <c r="F168" i="4"/>
  <c r="F439" i="4"/>
  <c r="F165" i="4"/>
  <c r="F440" i="4"/>
  <c r="F441" i="4"/>
  <c r="F162" i="4"/>
  <c r="F442" i="4"/>
  <c r="F161" i="4"/>
  <c r="F443" i="4"/>
  <c r="F444" i="4"/>
  <c r="F156" i="4"/>
  <c r="F445" i="4"/>
  <c r="F155" i="4"/>
  <c r="F446" i="4"/>
  <c r="F447" i="4"/>
  <c r="F153" i="4"/>
  <c r="F448" i="4"/>
  <c r="F449" i="4"/>
  <c r="F150" i="4"/>
  <c r="F450" i="4"/>
  <c r="F149" i="4"/>
  <c r="F451" i="4"/>
  <c r="F148" i="4"/>
  <c r="F89" i="4"/>
  <c r="F147" i="4"/>
  <c r="F92" i="4"/>
  <c r="F94" i="4"/>
  <c r="F95" i="4"/>
  <c r="F138" i="4"/>
  <c r="F97" i="4"/>
  <c r="F137" i="4"/>
  <c r="F98" i="4"/>
  <c r="F133" i="4"/>
  <c r="F131" i="4"/>
  <c r="F103" i="4"/>
  <c r="F129" i="4"/>
  <c r="F109" i="4"/>
  <c r="F121" i="4"/>
  <c r="F119" i="4"/>
  <c r="F110" i="4"/>
  <c r="F118" i="4"/>
  <c r="F111" i="4"/>
  <c r="F112" i="4"/>
  <c r="F114" i="4"/>
  <c r="F115" i="4"/>
  <c r="F108" i="4"/>
  <c r="F116" i="4"/>
  <c r="F107" i="4"/>
  <c r="F122" i="4"/>
  <c r="F106" i="4"/>
  <c r="F123" i="4"/>
  <c r="F105" i="4"/>
  <c r="F125" i="4"/>
  <c r="F104" i="4"/>
  <c r="F128" i="4"/>
  <c r="F102" i="4"/>
  <c r="F136" i="4"/>
  <c r="F101" i="4"/>
  <c r="F139" i="4"/>
  <c r="F96" i="4"/>
  <c r="F140" i="4"/>
  <c r="F90" i="4"/>
  <c r="F144" i="4"/>
  <c r="F145" i="4"/>
  <c r="F146" i="4"/>
  <c r="F151" i="4"/>
  <c r="F91" i="4"/>
  <c r="F152" i="4"/>
  <c r="F88" i="4"/>
  <c r="F154" i="4"/>
  <c r="F87" i="4"/>
  <c r="F166" i="4"/>
  <c r="F86" i="4"/>
  <c r="F175" i="4"/>
  <c r="F85" i="4"/>
  <c r="F176" i="4"/>
  <c r="F84" i="4"/>
  <c r="F177" i="4"/>
  <c r="F83" i="4"/>
  <c r="F181" i="4"/>
  <c r="F82" i="4"/>
  <c r="F185" i="4"/>
  <c r="F81" i="4"/>
  <c r="F188" i="4"/>
  <c r="F80" i="4"/>
  <c r="F192" i="4"/>
  <c r="F79" i="4"/>
  <c r="F196" i="4"/>
  <c r="F78" i="4"/>
  <c r="F200" i="4"/>
  <c r="F77" i="4"/>
  <c r="F201" i="4"/>
  <c r="F76" i="4"/>
  <c r="F203" i="4"/>
  <c r="F75" i="4"/>
  <c r="F452" i="4"/>
  <c r="F74" i="4"/>
  <c r="F453" i="4"/>
  <c r="F73" i="4"/>
  <c r="F454" i="4"/>
  <c r="F72" i="4"/>
  <c r="F455" i="4"/>
  <c r="F71" i="4"/>
  <c r="F456" i="4"/>
  <c r="F70" i="4"/>
  <c r="F457" i="4"/>
  <c r="F69" i="4"/>
  <c r="F458" i="4"/>
  <c r="F68" i="4"/>
  <c r="F459" i="4"/>
  <c r="F67" i="4"/>
  <c r="F460" i="4"/>
  <c r="F66" i="4"/>
  <c r="F461" i="4"/>
  <c r="F65" i="4"/>
  <c r="F462" i="4"/>
  <c r="F64" i="4"/>
  <c r="F463" i="4"/>
  <c r="F63" i="4"/>
  <c r="F464" i="4"/>
  <c r="F62" i="4"/>
  <c r="F465" i="4"/>
  <c r="F61" i="4"/>
  <c r="F466" i="4"/>
  <c r="F60" i="4"/>
  <c r="F467" i="4"/>
  <c r="F59" i="4"/>
  <c r="F468" i="4"/>
  <c r="F58" i="4"/>
  <c r="F469" i="4"/>
  <c r="F57" i="4"/>
  <c r="F470" i="4"/>
  <c r="F56" i="4"/>
  <c r="F471" i="4"/>
  <c r="F55" i="4"/>
  <c r="F472" i="4"/>
  <c r="F54" i="4"/>
  <c r="F473" i="4"/>
  <c r="F53" i="4"/>
  <c r="F474" i="4"/>
  <c r="F52" i="4"/>
  <c r="F475" i="4"/>
  <c r="F51" i="4"/>
  <c r="F476" i="4"/>
  <c r="F50" i="4"/>
  <c r="F477" i="4"/>
  <c r="F49" i="4"/>
  <c r="F478" i="4"/>
  <c r="F48" i="4"/>
  <c r="F479" i="4"/>
  <c r="F47" i="4"/>
  <c r="F480" i="4"/>
  <c r="F46" i="4"/>
  <c r="F481" i="4"/>
  <c r="F45" i="4"/>
  <c r="F482" i="4"/>
  <c r="F44" i="4"/>
  <c r="F483" i="4"/>
  <c r="F43" i="4"/>
  <c r="F484" i="4"/>
  <c r="F42" i="4"/>
  <c r="F485" i="4"/>
  <c r="F41" i="4"/>
  <c r="F486" i="4"/>
  <c r="F40" i="4"/>
  <c r="F487" i="4"/>
  <c r="F39" i="4"/>
  <c r="F488" i="4"/>
  <c r="F38" i="4"/>
  <c r="F489" i="4"/>
  <c r="F37" i="4"/>
  <c r="F490" i="4"/>
  <c r="F36" i="4"/>
  <c r="F491" i="4"/>
  <c r="F35" i="4"/>
  <c r="F492" i="4"/>
  <c r="F34" i="4"/>
  <c r="F493" i="4"/>
  <c r="F33" i="4"/>
  <c r="F494" i="4"/>
  <c r="F32" i="4"/>
  <c r="F495" i="4"/>
  <c r="F31" i="4"/>
  <c r="F496" i="4"/>
  <c r="F30" i="4"/>
  <c r="F497" i="4"/>
  <c r="F29" i="4"/>
  <c r="F498" i="4"/>
  <c r="F28" i="4"/>
  <c r="F499" i="4"/>
  <c r="F27" i="4"/>
  <c r="F500" i="4"/>
  <c r="F26" i="4"/>
  <c r="F501" i="4"/>
  <c r="F25" i="4"/>
  <c r="F502" i="4"/>
  <c r="F24" i="4"/>
  <c r="F503" i="4"/>
  <c r="F23" i="4"/>
  <c r="F504" i="4"/>
  <c r="F22" i="4"/>
  <c r="F505" i="4"/>
  <c r="F21" i="4"/>
  <c r="F506" i="4"/>
  <c r="F20" i="4"/>
  <c r="F507" i="4"/>
  <c r="F19" i="4"/>
  <c r="F508" i="4"/>
  <c r="F18" i="4"/>
  <c r="F509" i="4"/>
  <c r="F17" i="4"/>
  <c r="F510" i="4"/>
  <c r="F16" i="4"/>
  <c r="F511" i="4"/>
  <c r="F15" i="4"/>
  <c r="F512" i="4"/>
  <c r="F14" i="4"/>
  <c r="F513" i="4"/>
  <c r="F13" i="4"/>
  <c r="F514" i="4"/>
  <c r="F12" i="4"/>
  <c r="F515" i="4"/>
  <c r="F11" i="4"/>
  <c r="F516" i="4"/>
  <c r="F10" i="4"/>
  <c r="F517" i="4"/>
  <c r="F9" i="4"/>
  <c r="F518" i="4"/>
  <c r="F8" i="4"/>
  <c r="F519" i="4"/>
  <c r="F7" i="4"/>
  <c r="F520" i="4"/>
  <c r="F6" i="4"/>
  <c r="F521" i="4"/>
  <c r="F5" i="4"/>
  <c r="F522" i="4"/>
  <c r="F4" i="4"/>
  <c r="F523" i="4"/>
  <c r="F428" i="4"/>
  <c r="N27" i="4" l="1" a="1"/>
  <c r="M28" i="4"/>
  <c r="N18" i="4"/>
  <c r="H3" i="4"/>
  <c r="N5" i="4"/>
  <c r="N4" i="4"/>
  <c r="O4" i="4"/>
  <c r="O5" i="4"/>
  <c r="N28" i="4" l="1" a="1"/>
  <c r="M29" i="4"/>
  <c r="N9" i="4"/>
  <c r="N29" i="4" l="1" a="1"/>
  <c r="M30" i="4"/>
  <c r="N30" i="4" l="1" a="1"/>
  <c r="M31" i="4"/>
  <c r="N31" i="4" l="1" a="1"/>
  <c r="M32" i="4"/>
  <c r="N32" i="4" l="1" a="1"/>
  <c r="M33" i="4"/>
  <c r="M34" i="4" l="1"/>
  <c r="N33" i="4" a="1"/>
  <c r="N34" i="4" l="1" a="1"/>
  <c r="M35" i="4"/>
  <c r="N35" i="4" l="1" a="1"/>
  <c r="M36" i="4"/>
  <c r="N36" i="4" l="1" a="1"/>
  <c r="M37" i="4"/>
  <c r="N37" i="4" l="1" a="1"/>
  <c r="M38" i="4"/>
  <c r="N38" i="4" l="1" a="1"/>
  <c r="M39" i="4"/>
  <c r="N39" i="4" l="1" a="1"/>
  <c r="M40" i="4"/>
  <c r="N40" i="4" l="1" a="1"/>
  <c r="M41" i="4"/>
  <c r="M42" i="4" l="1"/>
  <c r="N41" i="4" a="1"/>
  <c r="N42" i="4" l="1" a="1"/>
  <c r="M43" i="4"/>
  <c r="M44" i="4" l="1"/>
  <c r="N43" i="4" a="1"/>
  <c r="N44" i="4" l="1" a="1"/>
  <c r="M45" i="4"/>
  <c r="N45" i="4" l="1" a="1"/>
  <c r="M46" i="4"/>
  <c r="N46" i="4" l="1" a="1"/>
  <c r="M47" i="4"/>
  <c r="N47" i="4" l="1" a="1"/>
  <c r="M48" i="4"/>
  <c r="N48" i="4" l="1" a="1"/>
  <c r="M49" i="4"/>
  <c r="M50" i="4" l="1"/>
  <c r="N49" i="4" a="1"/>
  <c r="N50" i="4" l="1" a="1"/>
  <c r="M51" i="4"/>
  <c r="N51" i="4" l="1" a="1"/>
  <c r="M52" i="4"/>
  <c r="M53" i="4" l="1"/>
  <c r="N52" i="4" a="1"/>
  <c r="N53" i="4" l="1" a="1"/>
  <c r="M54" i="4"/>
  <c r="N54" i="4" l="1" a="1"/>
  <c r="M55" i="4"/>
  <c r="N55" i="4" l="1" a="1"/>
  <c r="M56" i="4"/>
  <c r="N56" i="4" l="1" a="1"/>
  <c r="M57" i="4"/>
  <c r="N57" i="4" l="1" a="1"/>
  <c r="M58" i="4"/>
  <c r="N58" i="4" l="1" a="1"/>
  <c r="M59" i="4"/>
  <c r="N59" i="4" l="1" a="1"/>
  <c r="M60" i="4"/>
  <c r="N60" i="4" l="1" a="1"/>
  <c r="M61" i="4"/>
  <c r="N61" i="4" l="1" a="1"/>
  <c r="M62" i="4"/>
  <c r="N62" i="4" l="1" a="1"/>
  <c r="M63" i="4"/>
  <c r="N63" i="4" l="1" a="1"/>
  <c r="M64" i="4"/>
  <c r="N64" i="4" l="1" a="1"/>
  <c r="M65" i="4"/>
  <c r="N65" i="4" l="1" a="1"/>
  <c r="M66" i="4"/>
  <c r="M67" i="4" l="1"/>
  <c r="N66" i="4" a="1"/>
  <c r="N67" i="4" l="1" a="1"/>
  <c r="M68" i="4"/>
  <c r="N68" i="4" l="1" a="1"/>
  <c r="M69" i="4"/>
  <c r="N69" i="4" l="1" a="1"/>
  <c r="M70" i="4"/>
  <c r="N70" i="4" l="1" a="1"/>
  <c r="M71" i="4"/>
  <c r="N71" i="4" l="1" a="1"/>
  <c r="M72" i="4"/>
  <c r="N72" i="4" l="1" a="1"/>
  <c r="M73" i="4"/>
  <c r="N73" i="4" l="1" a="1"/>
  <c r="M74" i="4"/>
  <c r="N74" i="4" l="1" a="1"/>
  <c r="M75" i="4"/>
  <c r="N75" i="4" l="1" a="1"/>
  <c r="M76" i="4"/>
  <c r="M77" i="4" l="1"/>
  <c r="N76" i="4" a="1"/>
  <c r="N77" i="4" l="1" a="1"/>
  <c r="M78" i="4"/>
  <c r="M79" i="4" l="1"/>
  <c r="N78" i="4" a="1"/>
  <c r="N79" i="4" l="1" a="1"/>
  <c r="M80" i="4"/>
  <c r="N80" i="4" l="1" a="1"/>
  <c r="M81" i="4"/>
  <c r="N81" i="4" l="1" a="1"/>
  <c r="M82" i="4"/>
  <c r="N82" i="4" l="1" a="1"/>
  <c r="M83" i="4"/>
  <c r="N83" i="4" l="1" a="1"/>
  <c r="M84" i="4"/>
  <c r="N84" i="4" l="1" a="1"/>
  <c r="M85" i="4"/>
  <c r="M86" i="4" l="1"/>
  <c r="N85" i="4" a="1"/>
  <c r="N86" i="4" l="1" a="1"/>
  <c r="M87" i="4"/>
  <c r="N87" i="4" l="1" a="1"/>
  <c r="M88" i="4"/>
  <c r="M89" i="4" l="1"/>
  <c r="N88" i="4" a="1"/>
  <c r="N89" i="4" l="1" a="1"/>
  <c r="M90" i="4"/>
  <c r="N90" i="4" l="1" a="1"/>
  <c r="M91" i="4"/>
  <c r="N91" i="4" l="1" a="1"/>
  <c r="M92" i="4"/>
  <c r="N92" i="4" l="1" a="1"/>
  <c r="M93" i="4"/>
  <c r="N93" i="4" l="1" a="1"/>
  <c r="M94" i="4"/>
  <c r="N94" i="4" l="1" a="1"/>
  <c r="M95" i="4"/>
  <c r="N95" i="4" l="1" a="1"/>
  <c r="M96" i="4"/>
  <c r="N96" i="4" l="1" a="1"/>
  <c r="M97" i="4"/>
  <c r="N97" i="4" l="1" a="1"/>
  <c r="M98" i="4"/>
  <c r="N98" i="4" l="1" a="1"/>
  <c r="M99" i="4"/>
  <c r="N99" i="4" l="1" a="1"/>
  <c r="M100" i="4"/>
  <c r="N100" i="4" l="1" a="1"/>
  <c r="M101" i="4"/>
  <c r="N101" i="4" l="1" a="1"/>
  <c r="M102" i="4"/>
  <c r="N102" i="4" l="1" a="1"/>
  <c r="M103" i="4"/>
  <c r="N103" i="4" l="1" a="1"/>
  <c r="M104" i="4"/>
  <c r="N104" i="4" l="1" a="1"/>
  <c r="M105" i="4"/>
  <c r="M106" i="4" l="1"/>
  <c r="N105" i="4" a="1"/>
  <c r="N106" i="4" l="1" a="1"/>
  <c r="M107" i="4"/>
  <c r="N107" i="4" l="1" a="1"/>
  <c r="M108" i="4"/>
  <c r="N108" i="4" l="1" a="1"/>
  <c r="M109" i="4"/>
  <c r="N109" i="4" l="1" a="1"/>
  <c r="M110" i="4"/>
  <c r="N110" i="4" l="1" a="1"/>
  <c r="M111" i="4"/>
  <c r="N111" i="4" l="1" a="1"/>
  <c r="M112" i="4"/>
  <c r="M113" i="4" l="1"/>
  <c r="N112" i="4" a="1"/>
  <c r="N113" i="4" l="1" a="1"/>
  <c r="M114" i="4"/>
  <c r="N114" i="4" l="1" a="1"/>
  <c r="M115" i="4"/>
  <c r="N115" i="4" l="1" a="1"/>
  <c r="M116" i="4"/>
  <c r="N116" i="4" l="1" a="1"/>
  <c r="M117" i="4"/>
  <c r="N117" i="4" l="1" a="1"/>
  <c r="M118" i="4"/>
  <c r="N118" i="4" l="1" a="1"/>
  <c r="M119" i="4"/>
  <c r="N119" i="4" l="1" a="1"/>
  <c r="M120" i="4"/>
  <c r="N120" i="4" l="1" a="1"/>
  <c r="M121" i="4"/>
  <c r="N121" i="4" l="1" a="1"/>
  <c r="M122" i="4"/>
  <c r="M123" i="4" l="1"/>
  <c r="N122" i="4" a="1"/>
  <c r="N123" i="4" l="1" a="1"/>
  <c r="M124" i="4"/>
  <c r="N124" i="4" l="1" a="1"/>
  <c r="M125" i="4"/>
  <c r="N125" i="4" l="1" a="1"/>
  <c r="M126" i="4"/>
  <c r="M127" i="4" l="1"/>
  <c r="N126" i="4" a="1"/>
  <c r="N127" i="4" l="1" a="1"/>
  <c r="M128" i="4"/>
  <c r="N128" i="4" l="1" a="1"/>
  <c r="M129" i="4"/>
  <c r="N129" i="4" l="1" a="1"/>
  <c r="M130" i="4"/>
  <c r="N130" i="4" l="1" a="1"/>
  <c r="M131" i="4"/>
  <c r="N131" i="4" l="1" a="1"/>
  <c r="M132" i="4"/>
  <c r="N132" i="4" l="1" a="1"/>
  <c r="M133" i="4"/>
  <c r="N133" i="4" l="1" a="1"/>
  <c r="M134" i="4"/>
  <c r="N134" i="4" l="1" a="1"/>
  <c r="M135" i="4"/>
  <c r="N135" i="4" l="1" a="1"/>
  <c r="M136" i="4"/>
  <c r="N136" i="4" l="1" a="1"/>
  <c r="M137" i="4"/>
  <c r="N137" i="4" l="1" a="1"/>
  <c r="M138" i="4"/>
  <c r="N138" i="4" l="1" a="1"/>
  <c r="M139" i="4"/>
  <c r="N139" i="4" l="1" a="1"/>
  <c r="M140" i="4"/>
  <c r="N140" i="4" l="1" a="1"/>
  <c r="M141" i="4"/>
  <c r="N141" i="4" l="1" a="1"/>
  <c r="M142" i="4"/>
  <c r="N142" i="4" l="1" a="1"/>
  <c r="M143" i="4"/>
  <c r="N143" i="4" l="1" a="1"/>
  <c r="M144" i="4"/>
  <c r="N144" i="4" l="1" a="1"/>
  <c r="M145" i="4"/>
  <c r="N145" i="4" l="1" a="1"/>
  <c r="M146" i="4"/>
  <c r="N146" i="4" l="1" a="1"/>
  <c r="M147" i="4"/>
  <c r="N147" i="4" l="1" a="1"/>
  <c r="M148" i="4"/>
  <c r="N148" i="4" l="1" a="1"/>
  <c r="M149" i="4"/>
  <c r="N149" i="4" l="1" a="1"/>
  <c r="M150" i="4"/>
  <c r="N150" i="4" l="1" a="1"/>
  <c r="M151" i="4"/>
  <c r="N151" i="4" l="1" a="1"/>
  <c r="M152" i="4"/>
  <c r="N152" i="4" l="1" a="1"/>
  <c r="M153" i="4"/>
  <c r="N153" i="4" l="1" a="1"/>
  <c r="M154" i="4"/>
  <c r="N154" i="4" l="1" a="1"/>
  <c r="M155" i="4"/>
  <c r="N155" i="4" l="1" a="1"/>
  <c r="M156" i="4"/>
  <c r="N156" i="4" l="1" a="1"/>
  <c r="M157" i="4"/>
  <c r="N157" i="4" l="1" a="1"/>
  <c r="M158" i="4"/>
  <c r="N158" i="4" l="1" a="1"/>
  <c r="M159" i="4"/>
  <c r="N159" i="4" l="1" a="1"/>
  <c r="M160" i="4"/>
  <c r="N160" i="4" l="1" a="1"/>
  <c r="M161" i="4"/>
  <c r="N161" i="4" l="1" a="1"/>
  <c r="M162" i="4"/>
  <c r="N162" i="4" l="1" a="1"/>
  <c r="M163" i="4"/>
  <c r="N163" i="4" l="1" a="1"/>
  <c r="M164" i="4"/>
  <c r="N164" i="4" l="1" a="1"/>
  <c r="M165" i="4"/>
  <c r="N165" i="4" l="1" a="1"/>
  <c r="M166" i="4"/>
  <c r="N166" i="4" l="1" a="1"/>
  <c r="M167" i="4"/>
  <c r="N167" i="4" l="1" a="1"/>
  <c r="M168" i="4"/>
  <c r="N168" i="4" l="1" a="1"/>
  <c r="M169" i="4"/>
  <c r="N169" i="4" l="1" a="1"/>
  <c r="M170" i="4"/>
  <c r="N170" i="4" l="1" a="1"/>
  <c r="M171" i="4"/>
  <c r="N171" i="4" l="1" a="1"/>
  <c r="M172" i="4"/>
  <c r="N172" i="4" l="1" a="1"/>
  <c r="M173" i="4"/>
  <c r="N173" i="4" l="1" a="1"/>
  <c r="M174" i="4"/>
  <c r="N174" i="4" l="1" a="1"/>
  <c r="M175" i="4"/>
  <c r="N175" i="4" l="1" a="1"/>
  <c r="M176" i="4"/>
  <c r="N176" i="4" l="1" a="1"/>
  <c r="M177" i="4"/>
  <c r="N177" i="4" l="1" a="1"/>
  <c r="M178" i="4"/>
  <c r="N178" i="4" l="1" a="1"/>
  <c r="M179" i="4"/>
  <c r="N179" i="4" l="1" a="1"/>
  <c r="M180" i="4"/>
  <c r="N180" i="4" l="1" a="1"/>
  <c r="M181" i="4"/>
  <c r="N181" i="4" l="1" a="1"/>
  <c r="M182" i="4"/>
  <c r="N182" i="4" l="1" a="1"/>
  <c r="M183" i="4"/>
  <c r="N183" i="4" l="1" a="1"/>
  <c r="M184" i="4"/>
  <c r="N184" i="4" l="1" a="1"/>
  <c r="M185" i="4"/>
  <c r="N185" i="4" l="1" a="1"/>
  <c r="M186" i="4"/>
  <c r="N186" i="4" l="1" a="1"/>
  <c r="M187" i="4"/>
  <c r="N187" i="4" l="1" a="1"/>
  <c r="M188" i="4"/>
  <c r="N188" i="4" l="1" a="1"/>
  <c r="M189" i="4"/>
  <c r="N189" i="4" l="1" a="1"/>
  <c r="M190" i="4"/>
  <c r="N190" i="4" l="1" a="1"/>
  <c r="M191" i="4"/>
  <c r="N191" i="4" l="1" a="1"/>
  <c r="M192" i="4"/>
  <c r="N192" i="4" l="1" a="1"/>
  <c r="M193" i="4"/>
  <c r="N193" i="4" l="1" a="1"/>
  <c r="M194" i="4"/>
  <c r="N194" i="4" l="1" a="1"/>
  <c r="M195" i="4"/>
  <c r="N195" i="4" l="1" a="1"/>
  <c r="M196" i="4"/>
  <c r="N196" i="4" l="1" a="1"/>
  <c r="M197" i="4"/>
  <c r="N197" i="4" l="1" a="1"/>
  <c r="M198" i="4"/>
  <c r="N198" i="4" l="1" a="1"/>
  <c r="M199" i="4"/>
  <c r="N199" i="4" l="1" a="1"/>
  <c r="M200" i="4"/>
  <c r="N200" i="4" l="1" a="1"/>
  <c r="M201" i="4"/>
  <c r="N201" i="4" l="1" a="1"/>
  <c r="M202" i="4"/>
  <c r="N202" i="4" l="1" a="1"/>
  <c r="M203" i="4"/>
  <c r="N203" i="4" l="1" a="1"/>
  <c r="M204" i="4"/>
  <c r="N204" i="4" l="1" a="1"/>
  <c r="M205" i="4"/>
  <c r="M206" i="4" l="1"/>
  <c r="N205" i="4" a="1"/>
  <c r="M207" i="4" l="1"/>
  <c r="N206" i="4" a="1"/>
  <c r="N207" i="4" l="1" a="1"/>
  <c r="M208" i="4"/>
  <c r="N208" i="4" l="1" a="1"/>
  <c r="M209" i="4"/>
  <c r="N209" i="4" l="1" a="1"/>
  <c r="M210" i="4"/>
  <c r="N210" i="4" l="1" a="1"/>
  <c r="M211" i="4"/>
  <c r="M212" i="4" l="1"/>
  <c r="N211" i="4" a="1"/>
  <c r="N212" i="4" l="1" a="1"/>
  <c r="M213" i="4"/>
  <c r="N213" i="4" l="1" a="1"/>
  <c r="M214" i="4"/>
  <c r="N214" i="4" l="1" a="1"/>
  <c r="M215" i="4"/>
  <c r="N215" i="4" l="1" a="1"/>
  <c r="M216" i="4"/>
  <c r="N216" i="4" l="1" a="1"/>
  <c r="M217" i="4"/>
  <c r="N217" i="4" l="1" a="1"/>
  <c r="M218" i="4"/>
  <c r="N218" i="4" l="1" a="1"/>
  <c r="M219" i="4"/>
  <c r="N219" i="4" l="1" a="1"/>
  <c r="M220" i="4"/>
  <c r="N220" i="4" l="1" a="1"/>
  <c r="M221" i="4"/>
  <c r="N221" i="4" l="1" a="1"/>
  <c r="M222" i="4"/>
  <c r="N222" i="4" l="1" a="1"/>
  <c r="M223" i="4"/>
  <c r="N223" i="4" l="1" a="1"/>
  <c r="M224" i="4"/>
  <c r="N224" i="4" l="1" a="1"/>
  <c r="M225" i="4"/>
  <c r="N225" i="4" l="1" a="1"/>
  <c r="M226" i="4"/>
  <c r="N226" i="4" l="1" a="1"/>
  <c r="M227" i="4"/>
  <c r="N227" i="4" l="1" a="1"/>
  <c r="M228" i="4"/>
  <c r="N228" i="4" l="1" a="1"/>
  <c r="M229" i="4"/>
  <c r="N229" i="4" l="1" a="1"/>
  <c r="M230" i="4"/>
  <c r="N230" i="4" l="1" a="1"/>
  <c r="M231" i="4"/>
  <c r="N231" i="4" l="1" a="1"/>
  <c r="M232" i="4"/>
  <c r="N232" i="4" l="1" a="1"/>
  <c r="M233" i="4"/>
  <c r="M234" i="4" l="1"/>
  <c r="N233" i="4" a="1"/>
  <c r="N234" i="4" l="1" a="1"/>
  <c r="M235" i="4"/>
  <c r="N235" i="4" l="1" a="1"/>
  <c r="M236" i="4"/>
  <c r="N236" i="4" l="1" a="1"/>
  <c r="M237" i="4"/>
  <c r="M238" i="4" l="1"/>
  <c r="N237" i="4" a="1"/>
  <c r="N238" i="4" l="1" a="1"/>
  <c r="M239" i="4"/>
  <c r="N239" i="4" l="1" a="1"/>
  <c r="M240" i="4"/>
  <c r="N240" i="4" l="1" a="1"/>
  <c r="M241" i="4"/>
  <c r="N241" i="4" l="1" a="1"/>
  <c r="M242" i="4"/>
  <c r="M243" i="4" l="1"/>
  <c r="N242" i="4" a="1"/>
  <c r="N243" i="4" l="1" a="1"/>
  <c r="M244" i="4"/>
  <c r="N244" i="4" l="1" a="1"/>
  <c r="M245" i="4"/>
  <c r="N245" i="4" l="1" a="1"/>
  <c r="M246" i="4"/>
  <c r="N246" i="4" l="1" a="1"/>
  <c r="M247" i="4"/>
  <c r="N247" i="4" l="1" a="1"/>
  <c r="M248" i="4"/>
  <c r="N248" i="4" l="1" a="1"/>
  <c r="M249" i="4"/>
  <c r="M250" i="4" l="1"/>
  <c r="N249" i="4" a="1"/>
  <c r="N250" i="4" l="1" a="1"/>
  <c r="M251" i="4"/>
  <c r="N251" i="4" l="1" a="1"/>
  <c r="M252" i="4"/>
  <c r="N252" i="4" l="1" a="1"/>
  <c r="M253" i="4"/>
  <c r="N253" i="4" l="1" a="1"/>
  <c r="M254" i="4"/>
  <c r="N254" i="4" l="1" a="1"/>
  <c r="M255" i="4"/>
  <c r="N255" i="4" l="1" a="1"/>
  <c r="M256" i="4"/>
  <c r="M257" i="4" l="1"/>
  <c r="N256" i="4" a="1"/>
  <c r="N257" i="4" l="1" a="1"/>
  <c r="M258" i="4"/>
  <c r="N258" i="4" l="1" a="1"/>
  <c r="M259" i="4"/>
  <c r="N259" i="4" l="1" a="1"/>
  <c r="M260" i="4"/>
  <c r="N260" i="4" l="1" a="1"/>
  <c r="M261" i="4"/>
  <c r="N261" i="4" l="1" a="1"/>
  <c r="M262" i="4"/>
  <c r="N262" i="4" l="1" a="1"/>
  <c r="M263" i="4"/>
  <c r="N263" i="4" l="1" a="1"/>
  <c r="M264" i="4"/>
  <c r="M265" i="4" l="1"/>
  <c r="N264" i="4" a="1"/>
  <c r="N265" i="4" l="1" a="1"/>
  <c r="M266" i="4"/>
  <c r="N266" i="4" l="1" a="1"/>
  <c r="M267" i="4"/>
  <c r="N267" i="4" l="1" a="1"/>
  <c r="M268" i="4"/>
  <c r="N268" i="4" l="1" a="1"/>
  <c r="M269" i="4"/>
  <c r="N269" i="4" l="1" a="1"/>
  <c r="M270" i="4"/>
  <c r="N270" i="4" l="1" a="1"/>
  <c r="M271" i="4"/>
  <c r="N271" i="4" l="1" a="1"/>
  <c r="M272" i="4"/>
  <c r="N272" i="4" l="1" a="1"/>
  <c r="M273" i="4"/>
  <c r="N273" i="4" l="1" a="1"/>
  <c r="M274" i="4"/>
  <c r="N274" i="4" l="1" a="1"/>
  <c r="M275" i="4"/>
  <c r="N275" i="4" l="1" a="1"/>
  <c r="M276" i="4"/>
  <c r="N276" i="4" l="1" a="1"/>
  <c r="M277" i="4"/>
  <c r="N277" i="4" l="1" a="1"/>
  <c r="M278" i="4"/>
  <c r="N278" i="4" l="1" a="1"/>
  <c r="M279" i="4"/>
  <c r="N279" i="4" l="1" a="1"/>
  <c r="M280" i="4"/>
  <c r="N280" i="4" l="1" a="1"/>
  <c r="M281" i="4"/>
  <c r="N281" i="4" l="1" a="1"/>
  <c r="M282" i="4"/>
  <c r="N282" i="4" l="1" a="1"/>
  <c r="M283" i="4"/>
  <c r="N283" i="4" l="1" a="1"/>
  <c r="M284" i="4"/>
  <c r="M285" i="4" l="1"/>
  <c r="N284" i="4" a="1"/>
  <c r="N285" i="4" l="1" a="1"/>
  <c r="M286" i="4"/>
  <c r="M287" i="4" l="1"/>
  <c r="N286" i="4" a="1"/>
  <c r="N287" i="4" l="1" a="1"/>
  <c r="M288" i="4"/>
  <c r="N288" i="4" l="1" a="1"/>
  <c r="M289" i="4"/>
  <c r="N289" i="4" l="1" a="1"/>
  <c r="M290" i="4"/>
  <c r="N290" i="4" l="1" a="1"/>
  <c r="M291" i="4"/>
  <c r="M292" i="4" l="1"/>
  <c r="N291" i="4" a="1"/>
  <c r="N292" i="4" l="1" a="1"/>
  <c r="M293" i="4"/>
  <c r="N293" i="4" l="1" a="1"/>
  <c r="M294" i="4"/>
  <c r="N294" i="4" l="1" a="1"/>
  <c r="M295" i="4"/>
  <c r="N295" i="4" l="1" a="1"/>
  <c r="M296" i="4"/>
  <c r="N296" i="4" l="1" a="1"/>
  <c r="M297" i="4"/>
  <c r="M298" i="4" l="1"/>
  <c r="N297" i="4" a="1"/>
  <c r="N298" i="4" l="1" a="1"/>
  <c r="M299" i="4"/>
  <c r="M300" i="4" l="1"/>
  <c r="N299" i="4" a="1"/>
  <c r="M301" i="4" l="1"/>
  <c r="N300" i="4" a="1"/>
  <c r="N301" i="4" l="1" a="1"/>
  <c r="M302" i="4"/>
  <c r="N302" i="4" l="1" a="1"/>
  <c r="M303" i="4"/>
  <c r="N303" i="4" l="1" a="1"/>
  <c r="M304" i="4"/>
  <c r="N304" i="4" l="1" a="1"/>
  <c r="M305" i="4"/>
  <c r="N305" i="4" l="1" a="1"/>
  <c r="M306" i="4"/>
  <c r="M307" i="4" l="1"/>
  <c r="N306" i="4" a="1"/>
  <c r="N307" i="4" l="1" a="1"/>
  <c r="M308" i="4"/>
  <c r="N308" i="4" l="1" a="1"/>
  <c r="M309" i="4"/>
  <c r="N309" i="4" l="1" a="1"/>
  <c r="M310" i="4"/>
  <c r="N310" i="4" l="1" a="1"/>
  <c r="M311" i="4"/>
  <c r="N311" i="4" l="1" a="1"/>
  <c r="M312" i="4"/>
  <c r="N312" i="4" l="1" a="1"/>
  <c r="M313" i="4"/>
  <c r="M314" i="4" l="1"/>
  <c r="N313" i="4" a="1"/>
  <c r="N314" i="4" l="1" a="1"/>
  <c r="M315" i="4"/>
  <c r="N315" i="4" l="1" a="1"/>
  <c r="M316" i="4"/>
  <c r="N316" i="4" l="1" a="1"/>
  <c r="M317" i="4"/>
  <c r="N317" i="4" l="1" a="1"/>
  <c r="M318" i="4"/>
  <c r="N318" i="4" l="1" a="1"/>
  <c r="M319" i="4"/>
  <c r="N319" i="4" l="1" a="1"/>
  <c r="M320" i="4"/>
  <c r="N320" i="4" l="1" a="1"/>
  <c r="M321" i="4"/>
  <c r="M322" i="4" l="1"/>
  <c r="N321" i="4" a="1"/>
  <c r="M323" i="4" l="1"/>
  <c r="N322" i="4" a="1"/>
  <c r="N323" i="4" l="1" a="1"/>
  <c r="M324" i="4"/>
  <c r="N324" i="4" l="1" a="1"/>
  <c r="M325" i="4"/>
  <c r="N325" i="4" l="1" a="1"/>
  <c r="M326" i="4"/>
  <c r="N326" i="4" l="1" a="1"/>
  <c r="M327" i="4"/>
  <c r="N327" i="4" l="1" a="1"/>
  <c r="M328" i="4"/>
  <c r="N328" i="4" l="1" a="1"/>
  <c r="M329" i="4"/>
  <c r="N329" i="4" l="1" a="1"/>
  <c r="M330" i="4"/>
  <c r="M331" i="4" l="1"/>
  <c r="N330" i="4" a="1"/>
  <c r="N331" i="4" l="1" a="1"/>
  <c r="M332" i="4"/>
  <c r="N332" i="4" l="1" a="1"/>
  <c r="M333" i="4"/>
  <c r="M334" i="4" l="1"/>
  <c r="N333" i="4" a="1"/>
  <c r="N334" i="4" l="1" a="1"/>
  <c r="M335" i="4"/>
  <c r="N335" i="4" l="1" a="1"/>
  <c r="M336" i="4"/>
  <c r="N336" i="4" l="1" a="1"/>
  <c r="M337" i="4"/>
  <c r="N337" i="4" l="1" a="1"/>
  <c r="M338" i="4"/>
  <c r="N338" i="4" l="1" a="1"/>
  <c r="M339" i="4"/>
  <c r="N339" i="4" l="1" a="1"/>
  <c r="M340" i="4"/>
  <c r="N340" i="4" l="1" a="1"/>
  <c r="M341" i="4"/>
  <c r="M342" i="4" l="1"/>
  <c r="N341" i="4" a="1"/>
  <c r="N342" i="4" l="1" a="1"/>
  <c r="M343" i="4"/>
  <c r="N343" i="4" l="1" a="1"/>
  <c r="M344" i="4"/>
  <c r="N344" i="4" s="1" a="1"/>
  <c r="N345" i="4" s="1"/>
  <c r="N34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<sst xmlns="http://schemas.openxmlformats.org/spreadsheetml/2006/main" count="54" uniqueCount="40">
  <si>
    <t xml:space="preserve"> </t>
  </si>
  <si>
    <t>2-yr Tsy</t>
  </si>
  <si>
    <t>10-yr Tsy</t>
  </si>
  <si>
    <r>
      <t>d</t>
    </r>
    <r>
      <rPr>
        <vertAlign val="superscript"/>
        <sz val="14"/>
        <color theme="1"/>
        <rFont val="Bahnschrift"/>
        <family val="2"/>
      </rPr>
      <t>2</t>
    </r>
    <r>
      <rPr>
        <sz val="14"/>
        <color theme="1"/>
        <rFont val="Bahnschrift"/>
        <family val="2"/>
      </rPr>
      <t>P/dY</t>
    </r>
    <r>
      <rPr>
        <vertAlign val="superscript"/>
        <sz val="14"/>
        <color theme="1"/>
        <rFont val="Bahnschrift"/>
        <family val="2"/>
      </rPr>
      <t>2</t>
    </r>
  </si>
  <si>
    <t>CHG in bp (2-yr Tsy)</t>
  </si>
  <si>
    <t>CHG in bp (10-yr Tsy)</t>
  </si>
  <si>
    <t>Metric</t>
  </si>
  <si>
    <t>Mean change</t>
  </si>
  <si>
    <t>Sample standard deviation</t>
  </si>
  <si>
    <t>% within 1 standard deviation</t>
  </si>
  <si>
    <t>% within 2 standard deviations</t>
  </si>
  <si>
    <t>Sample correlation</t>
  </si>
  <si>
    <t>E[2-year shock | 10-year shock ≥ 0]</t>
  </si>
  <si>
    <t>E[10-year shock | 2-year shock ≥ 0]</t>
  </si>
  <si>
    <t xml:space="preserve">2-year </t>
  </si>
  <si>
    <t xml:space="preserve">10-year </t>
  </si>
  <si>
    <t>2Y Shock &gt; 1σ?</t>
  </si>
  <si>
    <t>10Y Shock &gt; 1σ</t>
  </si>
  <si>
    <t>Both Shocks &gt; 1σ</t>
  </si>
  <si>
    <t>Days both shocks exceed 1σ</t>
  </si>
  <si>
    <t>Correlation on those days</t>
  </si>
  <si>
    <t>PV01 per $1m face ($/bp)</t>
  </si>
  <si>
    <t>PV01-neutral portfolio: face value ($)</t>
  </si>
  <si>
    <t>PV01-neutral portfolio: PV01 ($/bp)</t>
  </si>
  <si>
    <t>Net portfolio PV01 ($/bp)</t>
  </si>
  <si>
    <t>Equal-PV01 portfolio: face value ($)</t>
  </si>
  <si>
    <t>Equal-PV01 portfolio: PV01 ($/bp)</t>
  </si>
  <si>
    <t>Difference between PV01 contributions ($/bp)</t>
  </si>
  <si>
    <t>Risk (PV01)</t>
  </si>
  <si>
    <t>Equal-PV01 portfolio loss ($)</t>
  </si>
  <si>
    <t>2Y loss per $1m</t>
  </si>
  <si>
    <t>10Y loss per $1m</t>
  </si>
  <si>
    <t>99% one-day standalone VaR ($)</t>
  </si>
  <si>
    <t>99% one-day portfolio VaR ($)</t>
  </si>
  <si>
    <t>10-year position A ($ millions)</t>
  </si>
  <si>
    <t>99% one-day VaR ($)</t>
  </si>
  <si>
    <t>Lowest charted VaR ($)</t>
  </si>
  <si>
    <t>10-year position at lowest VaR ($ millions)</t>
  </si>
  <si>
    <t>10-year position for zero total PV01 ($ millions)</t>
  </si>
  <si>
    <t>VaR at zero total PV01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</si>
</sst>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d\-mmm\-yy;@"/>
    <numFmt numFmtId="165" formatCode="0.000"/>
    <numFmt numFmtId="166" formatCode="0.0"/>
    <numFmt numFmtId="167" formatCode="yyyy\-mm\-dd;@"/>
    <numFmt numFmtId="168" formatCode="0.000000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Bahnschrift"/>
      <family val="2"/>
    </font>
    <font>
      <vertAlign val="superscript"/>
      <sz val="14"/>
      <color theme="1"/>
      <name val="Bahnschrift"/>
      <family val="2"/>
    </font>
    <font>
      <b/>
      <sz val="14"/>
      <color theme="1"/>
      <name val="Bahnschrift"/>
      <family val="2"/>
    </font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4"/>
      <color theme="0"/>
      <name val="Bahnschrift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theme="0" tint="-0.1499984740745262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theme="0" tint="-0.14999847407452621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3">
    <xf numFmtId="0" fontId="0" fillId="0" borderId="0" xfId="0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165" fontId="1" fillId="0" borderId="9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7" fontId="1" fillId="0" borderId="0" xfId="0" applyNumberFormat="1" applyFont="1" applyAlignment="1">
      <alignment horizontal="center"/>
    </xf>
    <xf numFmtId="0" fontId="5" fillId="0" borderId="0" xfId="0" applyFont="1"/>
    <xf numFmtId="2" fontId="1" fillId="0" borderId="1" xfId="0" applyNumberFormat="1" applyFont="1" applyBorder="1" applyAlignment="1">
      <alignment horizontal="center"/>
    </xf>
    <xf numFmtId="49" fontId="0" fillId="0" borderId="0" xfId="0" applyNumberFormat="1"/>
    <xf numFmtId="0" fontId="0" fillId="0" borderId="0" xfId="0" applyAlignment="1">
      <alignment wrapText="1"/>
    </xf>
    <xf numFmtId="165" fontId="6" fillId="3" borderId="2" xfId="0" applyNumberFormat="1" applyFont="1" applyFill="1" applyBorder="1" applyAlignment="1">
      <alignment horizontal="center" wrapText="1"/>
    </xf>
    <xf numFmtId="2" fontId="1" fillId="4" borderId="2" xfId="0" applyNumberFormat="1" applyFont="1" applyFill="1" applyBorder="1" applyAlignment="1">
      <alignment horizontal="center"/>
    </xf>
    <xf numFmtId="2" fontId="1" fillId="4" borderId="11" xfId="0" applyNumberFormat="1" applyFont="1" applyFill="1" applyBorder="1" applyAlignment="1">
      <alignment horizontal="center"/>
    </xf>
    <xf numFmtId="2" fontId="1" fillId="5" borderId="2" xfId="0" applyNumberFormat="1" applyFont="1" applyFill="1" applyBorder="1" applyAlignment="1">
      <alignment horizontal="center"/>
    </xf>
    <xf numFmtId="2" fontId="1" fillId="5" borderId="11" xfId="0" applyNumberFormat="1" applyFont="1" applyFill="1" applyBorder="1" applyAlignment="1">
      <alignment horizontal="center"/>
    </xf>
    <xf numFmtId="10" fontId="1" fillId="4" borderId="2" xfId="1" applyNumberFormat="1" applyFont="1" applyFill="1" applyBorder="1" applyAlignment="1">
      <alignment horizontal="center"/>
    </xf>
    <xf numFmtId="10" fontId="1" fillId="4" borderId="11" xfId="1" applyNumberFormat="1" applyFont="1" applyFill="1" applyBorder="1" applyAlignment="1">
      <alignment horizontal="center"/>
    </xf>
    <xf numFmtId="10" fontId="1" fillId="5" borderId="2" xfId="1" applyNumberFormat="1" applyFont="1" applyFill="1" applyBorder="1" applyAlignment="1">
      <alignment horizontal="center"/>
    </xf>
    <xf numFmtId="10" fontId="1" fillId="5" borderId="11" xfId="1" applyNumberFormat="1" applyFont="1" applyFill="1" applyBorder="1" applyAlignment="1">
      <alignment horizontal="center"/>
    </xf>
    <xf numFmtId="166" fontId="1" fillId="4" borderId="11" xfId="0" applyNumberFormat="1" applyFont="1" applyFill="1" applyBorder="1" applyAlignment="1">
      <alignment horizontal="center"/>
    </xf>
    <xf numFmtId="2" fontId="1" fillId="5" borderId="12" xfId="0" applyNumberFormat="1" applyFont="1" applyFill="1" applyBorder="1" applyAlignment="1">
      <alignment horizontal="center"/>
    </xf>
    <xf numFmtId="166" fontId="1" fillId="5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2" fontId="1" fillId="5" borderId="9" xfId="0" applyNumberFormat="1" applyFont="1" applyFill="1" applyBorder="1" applyAlignment="1">
      <alignment horizontal="center"/>
    </xf>
    <xf numFmtId="165" fontId="1" fillId="6" borderId="1" xfId="0" applyNumberFormat="1" applyFont="1" applyFill="1" applyBorder="1" applyAlignment="1">
      <alignment horizontal="center"/>
    </xf>
    <xf numFmtId="1" fontId="1" fillId="7" borderId="9" xfId="0" applyNumberFormat="1" applyFont="1" applyFill="1" applyBorder="1" applyAlignment="1">
      <alignment horizontal="center"/>
    </xf>
    <xf numFmtId="1" fontId="1" fillId="8" borderId="1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6" fillId="3" borderId="2" xfId="0" applyNumberFormat="1" applyFont="1" applyFill="1" applyBorder="1" applyAlignment="1">
      <alignment horizontal="center" wrapText="1"/>
    </xf>
    <xf numFmtId="166" fontId="1" fillId="0" borderId="0" xfId="0" applyNumberFormat="1" applyFont="1" applyAlignment="1">
      <alignment horizontal="center" wrapText="1"/>
    </xf>
    <xf numFmtId="167" fontId="1" fillId="0" borderId="13" xfId="0" applyNumberFormat="1" applyFont="1" applyBorder="1" applyAlignment="1">
      <alignment horizontal="center"/>
    </xf>
    <xf numFmtId="165" fontId="1" fillId="0" borderId="13" xfId="0" applyNumberFormat="1" applyFont="1" applyBorder="1" applyAlignment="1">
      <alignment horizontal="center"/>
    </xf>
    <xf numFmtId="166" fontId="1" fillId="0" borderId="13" xfId="0" applyNumberFormat="1" applyFont="1" applyBorder="1" applyAlignment="1">
      <alignment horizontal="center"/>
    </xf>
    <xf numFmtId="2" fontId="1" fillId="0" borderId="13" xfId="0" applyNumberFormat="1" applyFont="1" applyBorder="1" applyAlignment="1">
      <alignment horizontal="center"/>
    </xf>
    <xf numFmtId="165" fontId="6" fillId="3" borderId="10" xfId="0" applyNumberFormat="1" applyFont="1" applyFill="1" applyBorder="1" applyAlignment="1">
      <alignment horizontal="center" wrapText="1"/>
    </xf>
    <xf numFmtId="168" fontId="1" fillId="5" borderId="1" xfId="0" applyNumberFormat="1" applyFont="1" applyFill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Solution!$N$23</c:f>
              <c:strCache>
                <c:ptCount val="1"/>
                <c:pt idx="0">
                  <c:v>99% one-day VaR ($)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Solution!$M$24:$M$344</c:f>
              <c:numCache>
                <c:formatCode>0.00</c:formatCode>
                <c:ptCount val="321"/>
                <c:pt idx="0">
                  <c:v>-8</c:v>
                </c:pt>
                <c:pt idx="1">
                  <c:v>-7.95</c:v>
                </c:pt>
                <c:pt idx="2">
                  <c:v>-7.9</c:v>
                </c:pt>
                <c:pt idx="3">
                  <c:v>-7.8500000000000005</c:v>
                </c:pt>
                <c:pt idx="4">
                  <c:v>-7.8000000000000007</c:v>
                </c:pt>
                <c:pt idx="5">
                  <c:v>-7.7500000000000009</c:v>
                </c:pt>
                <c:pt idx="6">
                  <c:v>-7.7000000000000011</c:v>
                </c:pt>
                <c:pt idx="7">
                  <c:v>-7.6500000000000012</c:v>
                </c:pt>
                <c:pt idx="8">
                  <c:v>-7.6000000000000014</c:v>
                </c:pt>
                <c:pt idx="9">
                  <c:v>-7.5500000000000016</c:v>
                </c:pt>
                <c:pt idx="10">
                  <c:v>-7.5000000000000018</c:v>
                </c:pt>
                <c:pt idx="11">
                  <c:v>-7.450000000000002</c:v>
                </c:pt>
                <c:pt idx="12">
                  <c:v>-7.4000000000000021</c:v>
                </c:pt>
                <c:pt idx="13">
                  <c:v>-7.3500000000000023</c:v>
                </c:pt>
                <c:pt idx="14">
                  <c:v>-7.3000000000000025</c:v>
                </c:pt>
                <c:pt idx="15">
                  <c:v>-7.2500000000000027</c:v>
                </c:pt>
                <c:pt idx="16">
                  <c:v>-7.2000000000000028</c:v>
                </c:pt>
                <c:pt idx="17">
                  <c:v>-7.150000000000003</c:v>
                </c:pt>
                <c:pt idx="18">
                  <c:v>-7.1000000000000032</c:v>
                </c:pt>
                <c:pt idx="19">
                  <c:v>-7.0500000000000034</c:v>
                </c:pt>
                <c:pt idx="20">
                  <c:v>-7.0000000000000036</c:v>
                </c:pt>
                <c:pt idx="21">
                  <c:v>-6.9500000000000037</c:v>
                </c:pt>
                <c:pt idx="22">
                  <c:v>-6.9000000000000039</c:v>
                </c:pt>
                <c:pt idx="23">
                  <c:v>-6.8500000000000041</c:v>
                </c:pt>
                <c:pt idx="24">
                  <c:v>-6.8000000000000043</c:v>
                </c:pt>
                <c:pt idx="25">
                  <c:v>-6.7500000000000044</c:v>
                </c:pt>
                <c:pt idx="26">
                  <c:v>-6.7000000000000046</c:v>
                </c:pt>
                <c:pt idx="27">
                  <c:v>-6.6500000000000048</c:v>
                </c:pt>
                <c:pt idx="28">
                  <c:v>-6.600000000000005</c:v>
                </c:pt>
                <c:pt idx="29">
                  <c:v>-6.5500000000000052</c:v>
                </c:pt>
                <c:pt idx="30">
                  <c:v>-6.5000000000000053</c:v>
                </c:pt>
                <c:pt idx="31">
                  <c:v>-6.4500000000000055</c:v>
                </c:pt>
                <c:pt idx="32">
                  <c:v>-6.4000000000000057</c:v>
                </c:pt>
                <c:pt idx="33">
                  <c:v>-6.3500000000000059</c:v>
                </c:pt>
                <c:pt idx="34">
                  <c:v>-6.300000000000006</c:v>
                </c:pt>
                <c:pt idx="35">
                  <c:v>-6.2500000000000062</c:v>
                </c:pt>
                <c:pt idx="36">
                  <c:v>-6.2000000000000064</c:v>
                </c:pt>
                <c:pt idx="37">
                  <c:v>-6.1500000000000066</c:v>
                </c:pt>
                <c:pt idx="38">
                  <c:v>-6.1000000000000068</c:v>
                </c:pt>
                <c:pt idx="39">
                  <c:v>-6.0500000000000069</c:v>
                </c:pt>
                <c:pt idx="40">
                  <c:v>-6.0000000000000071</c:v>
                </c:pt>
                <c:pt idx="41">
                  <c:v>-5.9500000000000073</c:v>
                </c:pt>
                <c:pt idx="42">
                  <c:v>-5.9000000000000075</c:v>
                </c:pt>
                <c:pt idx="43">
                  <c:v>-5.8500000000000076</c:v>
                </c:pt>
                <c:pt idx="44">
                  <c:v>-5.8000000000000078</c:v>
                </c:pt>
                <c:pt idx="45">
                  <c:v>-5.750000000000008</c:v>
                </c:pt>
                <c:pt idx="46">
                  <c:v>-5.7000000000000082</c:v>
                </c:pt>
                <c:pt idx="47">
                  <c:v>-5.6500000000000083</c:v>
                </c:pt>
                <c:pt idx="48">
                  <c:v>-5.6000000000000085</c:v>
                </c:pt>
                <c:pt idx="49">
                  <c:v>-5.5500000000000087</c:v>
                </c:pt>
                <c:pt idx="50">
                  <c:v>-5.5000000000000089</c:v>
                </c:pt>
                <c:pt idx="51">
                  <c:v>-5.4500000000000091</c:v>
                </c:pt>
                <c:pt idx="52">
                  <c:v>-5.4000000000000092</c:v>
                </c:pt>
                <c:pt idx="53">
                  <c:v>-5.3500000000000094</c:v>
                </c:pt>
                <c:pt idx="54">
                  <c:v>-5.3000000000000096</c:v>
                </c:pt>
                <c:pt idx="55">
                  <c:v>-5.2500000000000098</c:v>
                </c:pt>
                <c:pt idx="56">
                  <c:v>-5.2000000000000099</c:v>
                </c:pt>
                <c:pt idx="57">
                  <c:v>-5.1500000000000101</c:v>
                </c:pt>
                <c:pt idx="58">
                  <c:v>-5.1000000000000103</c:v>
                </c:pt>
                <c:pt idx="59">
                  <c:v>-5.0500000000000105</c:v>
                </c:pt>
                <c:pt idx="60">
                  <c:v>-5.0000000000000107</c:v>
                </c:pt>
                <c:pt idx="61">
                  <c:v>-4.9500000000000108</c:v>
                </c:pt>
                <c:pt idx="62">
                  <c:v>-4.900000000000011</c:v>
                </c:pt>
                <c:pt idx="63">
                  <c:v>-4.8500000000000112</c:v>
                </c:pt>
                <c:pt idx="64">
                  <c:v>-4.8000000000000114</c:v>
                </c:pt>
                <c:pt idx="65">
                  <c:v>-4.7500000000000115</c:v>
                </c:pt>
                <c:pt idx="66">
                  <c:v>-4.7000000000000117</c:v>
                </c:pt>
                <c:pt idx="67">
                  <c:v>-4.6500000000000119</c:v>
                </c:pt>
                <c:pt idx="68">
                  <c:v>-4.6000000000000121</c:v>
                </c:pt>
                <c:pt idx="69">
                  <c:v>-4.5500000000000123</c:v>
                </c:pt>
                <c:pt idx="70">
                  <c:v>-4.5000000000000124</c:v>
                </c:pt>
                <c:pt idx="71">
                  <c:v>-4.4500000000000126</c:v>
                </c:pt>
                <c:pt idx="72">
                  <c:v>-4.4000000000000128</c:v>
                </c:pt>
                <c:pt idx="73">
                  <c:v>-4.350000000000013</c:v>
                </c:pt>
                <c:pt idx="74">
                  <c:v>-4.3000000000000131</c:v>
                </c:pt>
                <c:pt idx="75">
                  <c:v>-4.2500000000000133</c:v>
                </c:pt>
                <c:pt idx="76">
                  <c:v>-4.2000000000000135</c:v>
                </c:pt>
                <c:pt idx="77">
                  <c:v>-4.1500000000000137</c:v>
                </c:pt>
                <c:pt idx="78">
                  <c:v>-4.1000000000000139</c:v>
                </c:pt>
                <c:pt idx="79">
                  <c:v>-4.050000000000014</c:v>
                </c:pt>
                <c:pt idx="80">
                  <c:v>-4.0000000000000142</c:v>
                </c:pt>
                <c:pt idx="81">
                  <c:v>-3.9500000000000144</c:v>
                </c:pt>
                <c:pt idx="82">
                  <c:v>-3.9000000000000146</c:v>
                </c:pt>
                <c:pt idx="83">
                  <c:v>-3.8500000000000147</c:v>
                </c:pt>
                <c:pt idx="84">
                  <c:v>-3.8000000000000149</c:v>
                </c:pt>
                <c:pt idx="85">
                  <c:v>-3.7500000000000151</c:v>
                </c:pt>
                <c:pt idx="86">
                  <c:v>-3.7000000000000153</c:v>
                </c:pt>
                <c:pt idx="87">
                  <c:v>-3.6500000000000155</c:v>
                </c:pt>
                <c:pt idx="88">
                  <c:v>-3.6000000000000156</c:v>
                </c:pt>
                <c:pt idx="89">
                  <c:v>-3.5500000000000158</c:v>
                </c:pt>
                <c:pt idx="90">
                  <c:v>-3.500000000000016</c:v>
                </c:pt>
                <c:pt idx="91">
                  <c:v>-3.4500000000000162</c:v>
                </c:pt>
                <c:pt idx="92">
                  <c:v>-3.4000000000000163</c:v>
                </c:pt>
                <c:pt idx="93">
                  <c:v>-3.3500000000000165</c:v>
                </c:pt>
                <c:pt idx="94">
                  <c:v>-3.3000000000000167</c:v>
                </c:pt>
                <c:pt idx="95">
                  <c:v>-3.2500000000000169</c:v>
                </c:pt>
                <c:pt idx="96">
                  <c:v>-3.2000000000000171</c:v>
                </c:pt>
                <c:pt idx="97">
                  <c:v>-3.1500000000000172</c:v>
                </c:pt>
                <c:pt idx="98">
                  <c:v>-3.1000000000000174</c:v>
                </c:pt>
                <c:pt idx="99">
                  <c:v>-3.0500000000000176</c:v>
                </c:pt>
                <c:pt idx="100">
                  <c:v>-3.0000000000000178</c:v>
                </c:pt>
                <c:pt idx="101">
                  <c:v>-2.9500000000000179</c:v>
                </c:pt>
                <c:pt idx="102">
                  <c:v>-2.9000000000000181</c:v>
                </c:pt>
                <c:pt idx="103">
                  <c:v>-2.8500000000000183</c:v>
                </c:pt>
                <c:pt idx="104">
                  <c:v>-2.8000000000000185</c:v>
                </c:pt>
                <c:pt idx="105">
                  <c:v>-2.7500000000000187</c:v>
                </c:pt>
                <c:pt idx="106">
                  <c:v>-2.7000000000000188</c:v>
                </c:pt>
                <c:pt idx="107">
                  <c:v>-2.650000000000019</c:v>
                </c:pt>
                <c:pt idx="108">
                  <c:v>-2.6000000000000192</c:v>
                </c:pt>
                <c:pt idx="109">
                  <c:v>-2.5500000000000194</c:v>
                </c:pt>
                <c:pt idx="110">
                  <c:v>-2.5000000000000195</c:v>
                </c:pt>
                <c:pt idx="111">
                  <c:v>-2.4500000000000197</c:v>
                </c:pt>
                <c:pt idx="112">
                  <c:v>-2.4000000000000199</c:v>
                </c:pt>
                <c:pt idx="113">
                  <c:v>-2.3500000000000201</c:v>
                </c:pt>
                <c:pt idx="114">
                  <c:v>-2.3000000000000203</c:v>
                </c:pt>
                <c:pt idx="115">
                  <c:v>-2.2500000000000204</c:v>
                </c:pt>
                <c:pt idx="116">
                  <c:v>-2.2000000000000206</c:v>
                </c:pt>
                <c:pt idx="117">
                  <c:v>-2.1500000000000208</c:v>
                </c:pt>
                <c:pt idx="118">
                  <c:v>-2.100000000000021</c:v>
                </c:pt>
                <c:pt idx="119">
                  <c:v>-2.0500000000000211</c:v>
                </c:pt>
                <c:pt idx="120">
                  <c:v>-2.0000000000000213</c:v>
                </c:pt>
                <c:pt idx="121">
                  <c:v>-1.9500000000000213</c:v>
                </c:pt>
                <c:pt idx="122">
                  <c:v>-1.9000000000000212</c:v>
                </c:pt>
                <c:pt idx="123">
                  <c:v>-1.8500000000000212</c:v>
                </c:pt>
                <c:pt idx="124">
                  <c:v>-1.8000000000000211</c:v>
                </c:pt>
                <c:pt idx="125">
                  <c:v>-1.7500000000000211</c:v>
                </c:pt>
                <c:pt idx="126">
                  <c:v>-1.700000000000021</c:v>
                </c:pt>
                <c:pt idx="127">
                  <c:v>-1.650000000000021</c:v>
                </c:pt>
                <c:pt idx="128">
                  <c:v>-1.600000000000021</c:v>
                </c:pt>
                <c:pt idx="129">
                  <c:v>-1.5500000000000209</c:v>
                </c:pt>
                <c:pt idx="130">
                  <c:v>-1.5000000000000209</c:v>
                </c:pt>
                <c:pt idx="131">
                  <c:v>-1.4500000000000208</c:v>
                </c:pt>
                <c:pt idx="132">
                  <c:v>-1.4000000000000208</c:v>
                </c:pt>
                <c:pt idx="133">
                  <c:v>-1.3500000000000207</c:v>
                </c:pt>
                <c:pt idx="134">
                  <c:v>-1.3000000000000207</c:v>
                </c:pt>
                <c:pt idx="135">
                  <c:v>-1.2500000000000207</c:v>
                </c:pt>
                <c:pt idx="136">
                  <c:v>-1.2000000000000206</c:v>
                </c:pt>
                <c:pt idx="137">
                  <c:v>-1.1500000000000206</c:v>
                </c:pt>
                <c:pt idx="138">
                  <c:v>-1.1000000000000205</c:v>
                </c:pt>
                <c:pt idx="139">
                  <c:v>-1.0500000000000205</c:v>
                </c:pt>
                <c:pt idx="140">
                  <c:v>-1.0000000000000204</c:v>
                </c:pt>
                <c:pt idx="141">
                  <c:v>-0.95000000000002038</c:v>
                </c:pt>
                <c:pt idx="142">
                  <c:v>-0.90000000000002034</c:v>
                </c:pt>
                <c:pt idx="143">
                  <c:v>-0.85000000000002029</c:v>
                </c:pt>
                <c:pt idx="144">
                  <c:v>-0.80000000000002025</c:v>
                </c:pt>
                <c:pt idx="145">
                  <c:v>-0.75000000000002021</c:v>
                </c:pt>
                <c:pt idx="146">
                  <c:v>-0.70000000000002016</c:v>
                </c:pt>
                <c:pt idx="147">
                  <c:v>-0.65000000000002012</c:v>
                </c:pt>
                <c:pt idx="148">
                  <c:v>-0.60000000000002007</c:v>
                </c:pt>
                <c:pt idx="149">
                  <c:v>-0.55000000000002003</c:v>
                </c:pt>
                <c:pt idx="150">
                  <c:v>-0.50000000000001998</c:v>
                </c:pt>
                <c:pt idx="151">
                  <c:v>-0.45000000000002</c:v>
                </c:pt>
                <c:pt idx="152">
                  <c:v>-0.40000000000002001</c:v>
                </c:pt>
                <c:pt idx="153">
                  <c:v>-0.35000000000002002</c:v>
                </c:pt>
                <c:pt idx="154">
                  <c:v>-0.30000000000002003</c:v>
                </c:pt>
                <c:pt idx="155">
                  <c:v>-0.25000000000002004</c:v>
                </c:pt>
                <c:pt idx="156">
                  <c:v>-0.20000000000002005</c:v>
                </c:pt>
                <c:pt idx="157">
                  <c:v>-0.15000000000002006</c:v>
                </c:pt>
                <c:pt idx="158">
                  <c:v>-0.10000000000002006</c:v>
                </c:pt>
                <c:pt idx="159">
                  <c:v>-5.0000000000020056E-2</c:v>
                </c:pt>
                <c:pt idx="160">
                  <c:v>-2.005340338229189E-14</c:v>
                </c:pt>
                <c:pt idx="161">
                  <c:v>4.9999999999979949E-2</c:v>
                </c:pt>
                <c:pt idx="162">
                  <c:v>9.9999999999979952E-2</c:v>
                </c:pt>
                <c:pt idx="163">
                  <c:v>0.14999999999997995</c:v>
                </c:pt>
                <c:pt idx="164">
                  <c:v>0.19999999999997997</c:v>
                </c:pt>
                <c:pt idx="165">
                  <c:v>0.24999999999997996</c:v>
                </c:pt>
                <c:pt idx="166">
                  <c:v>0.29999999999997995</c:v>
                </c:pt>
                <c:pt idx="167">
                  <c:v>0.34999999999997994</c:v>
                </c:pt>
                <c:pt idx="168">
                  <c:v>0.39999999999997993</c:v>
                </c:pt>
                <c:pt idx="169">
                  <c:v>0.44999999999997992</c:v>
                </c:pt>
                <c:pt idx="170">
                  <c:v>0.4999999999999799</c:v>
                </c:pt>
                <c:pt idx="171">
                  <c:v>0.54999999999997995</c:v>
                </c:pt>
                <c:pt idx="172">
                  <c:v>0.59999999999997999</c:v>
                </c:pt>
                <c:pt idx="173">
                  <c:v>0.64999999999998004</c:v>
                </c:pt>
                <c:pt idx="174">
                  <c:v>0.69999999999998008</c:v>
                </c:pt>
                <c:pt idx="175">
                  <c:v>0.74999999999998013</c:v>
                </c:pt>
                <c:pt idx="176">
                  <c:v>0.79999999999998017</c:v>
                </c:pt>
                <c:pt idx="177">
                  <c:v>0.84999999999998022</c:v>
                </c:pt>
                <c:pt idx="178">
                  <c:v>0.89999999999998026</c:v>
                </c:pt>
                <c:pt idx="179">
                  <c:v>0.9499999999999803</c:v>
                </c:pt>
                <c:pt idx="180">
                  <c:v>0.99999999999998035</c:v>
                </c:pt>
                <c:pt idx="181">
                  <c:v>1.0499999999999803</c:v>
                </c:pt>
                <c:pt idx="182">
                  <c:v>1.0999999999999803</c:v>
                </c:pt>
                <c:pt idx="183">
                  <c:v>1.1499999999999804</c:v>
                </c:pt>
                <c:pt idx="184">
                  <c:v>1.1999999999999804</c:v>
                </c:pt>
                <c:pt idx="185">
                  <c:v>1.2499999999999805</c:v>
                </c:pt>
                <c:pt idx="186">
                  <c:v>1.2999999999999805</c:v>
                </c:pt>
                <c:pt idx="187">
                  <c:v>1.3499999999999805</c:v>
                </c:pt>
                <c:pt idx="188">
                  <c:v>1.3999999999999806</c:v>
                </c:pt>
                <c:pt idx="189">
                  <c:v>1.4499999999999806</c:v>
                </c:pt>
                <c:pt idx="190">
                  <c:v>1.4999999999999807</c:v>
                </c:pt>
                <c:pt idx="191">
                  <c:v>1.5499999999999807</c:v>
                </c:pt>
                <c:pt idx="192">
                  <c:v>1.5999999999999808</c:v>
                </c:pt>
                <c:pt idx="193">
                  <c:v>1.6499999999999808</c:v>
                </c:pt>
                <c:pt idx="194">
                  <c:v>1.6999999999999809</c:v>
                </c:pt>
                <c:pt idx="195">
                  <c:v>1.7499999999999809</c:v>
                </c:pt>
                <c:pt idx="196">
                  <c:v>1.7999999999999809</c:v>
                </c:pt>
                <c:pt idx="197">
                  <c:v>1.849999999999981</c:v>
                </c:pt>
                <c:pt idx="198">
                  <c:v>1.899999999999981</c:v>
                </c:pt>
                <c:pt idx="199">
                  <c:v>1.9499999999999811</c:v>
                </c:pt>
                <c:pt idx="200">
                  <c:v>1.9999999999999811</c:v>
                </c:pt>
                <c:pt idx="201">
                  <c:v>2.0499999999999812</c:v>
                </c:pt>
                <c:pt idx="202">
                  <c:v>2.099999999999981</c:v>
                </c:pt>
                <c:pt idx="203">
                  <c:v>2.1499999999999808</c:v>
                </c:pt>
                <c:pt idx="204">
                  <c:v>2.1999999999999806</c:v>
                </c:pt>
                <c:pt idx="205">
                  <c:v>2.2499999999999805</c:v>
                </c:pt>
                <c:pt idx="206">
                  <c:v>2.2999999999999803</c:v>
                </c:pt>
                <c:pt idx="207">
                  <c:v>2.3499999999999801</c:v>
                </c:pt>
                <c:pt idx="208">
                  <c:v>2.3999999999999799</c:v>
                </c:pt>
                <c:pt idx="209">
                  <c:v>2.4499999999999797</c:v>
                </c:pt>
                <c:pt idx="210">
                  <c:v>2.4999999999999796</c:v>
                </c:pt>
                <c:pt idx="211">
                  <c:v>2.5499999999999794</c:v>
                </c:pt>
                <c:pt idx="212">
                  <c:v>2.5999999999999792</c:v>
                </c:pt>
                <c:pt idx="213">
                  <c:v>2.649999999999979</c:v>
                </c:pt>
                <c:pt idx="214">
                  <c:v>2.6999999999999789</c:v>
                </c:pt>
                <c:pt idx="215">
                  <c:v>2.7499999999999787</c:v>
                </c:pt>
                <c:pt idx="216">
                  <c:v>2.7999999999999785</c:v>
                </c:pt>
                <c:pt idx="217">
                  <c:v>2.8499999999999783</c:v>
                </c:pt>
                <c:pt idx="218">
                  <c:v>2.8999999999999782</c:v>
                </c:pt>
                <c:pt idx="219">
                  <c:v>2.949999999999978</c:v>
                </c:pt>
                <c:pt idx="220">
                  <c:v>2.9999999999999778</c:v>
                </c:pt>
                <c:pt idx="221">
                  <c:v>3.0499999999999776</c:v>
                </c:pt>
                <c:pt idx="222">
                  <c:v>3.0999999999999774</c:v>
                </c:pt>
                <c:pt idx="223">
                  <c:v>3.1499999999999773</c:v>
                </c:pt>
                <c:pt idx="224">
                  <c:v>3.1999999999999771</c:v>
                </c:pt>
                <c:pt idx="225">
                  <c:v>3.2499999999999769</c:v>
                </c:pt>
                <c:pt idx="226">
                  <c:v>3.2999999999999767</c:v>
                </c:pt>
                <c:pt idx="227">
                  <c:v>3.3499999999999766</c:v>
                </c:pt>
                <c:pt idx="228">
                  <c:v>3.3999999999999764</c:v>
                </c:pt>
                <c:pt idx="229">
                  <c:v>3.4499999999999762</c:v>
                </c:pt>
                <c:pt idx="230">
                  <c:v>3.499999999999976</c:v>
                </c:pt>
                <c:pt idx="231">
                  <c:v>3.5499999999999758</c:v>
                </c:pt>
                <c:pt idx="232">
                  <c:v>3.5999999999999757</c:v>
                </c:pt>
                <c:pt idx="233">
                  <c:v>3.6499999999999755</c:v>
                </c:pt>
                <c:pt idx="234">
                  <c:v>3.6999999999999753</c:v>
                </c:pt>
                <c:pt idx="235">
                  <c:v>3.7499999999999751</c:v>
                </c:pt>
                <c:pt idx="236">
                  <c:v>3.799999999999975</c:v>
                </c:pt>
                <c:pt idx="237">
                  <c:v>3.8499999999999748</c:v>
                </c:pt>
                <c:pt idx="238">
                  <c:v>3.8999999999999746</c:v>
                </c:pt>
                <c:pt idx="239">
                  <c:v>3.9499999999999744</c:v>
                </c:pt>
                <c:pt idx="240">
                  <c:v>3.9999999999999742</c:v>
                </c:pt>
                <c:pt idx="241">
                  <c:v>4.0499999999999741</c:v>
                </c:pt>
                <c:pt idx="242">
                  <c:v>4.0999999999999739</c:v>
                </c:pt>
                <c:pt idx="243">
                  <c:v>4.1499999999999737</c:v>
                </c:pt>
                <c:pt idx="244">
                  <c:v>4.1999999999999735</c:v>
                </c:pt>
                <c:pt idx="245">
                  <c:v>4.2499999999999734</c:v>
                </c:pt>
                <c:pt idx="246">
                  <c:v>4.2999999999999732</c:v>
                </c:pt>
                <c:pt idx="247">
                  <c:v>4.349999999999973</c:v>
                </c:pt>
                <c:pt idx="248">
                  <c:v>4.3999999999999728</c:v>
                </c:pt>
                <c:pt idx="249">
                  <c:v>4.4499999999999726</c:v>
                </c:pt>
                <c:pt idx="250">
                  <c:v>4.4999999999999725</c:v>
                </c:pt>
                <c:pt idx="251">
                  <c:v>4.5499999999999723</c:v>
                </c:pt>
                <c:pt idx="252">
                  <c:v>4.5999999999999721</c:v>
                </c:pt>
                <c:pt idx="253">
                  <c:v>4.6499999999999719</c:v>
                </c:pt>
                <c:pt idx="254">
                  <c:v>4.6999999999999718</c:v>
                </c:pt>
                <c:pt idx="255">
                  <c:v>4.7499999999999716</c:v>
                </c:pt>
                <c:pt idx="256">
                  <c:v>4.7999999999999714</c:v>
                </c:pt>
                <c:pt idx="257">
                  <c:v>4.8499999999999712</c:v>
                </c:pt>
                <c:pt idx="258">
                  <c:v>4.899999999999971</c:v>
                </c:pt>
                <c:pt idx="259">
                  <c:v>4.9499999999999709</c:v>
                </c:pt>
                <c:pt idx="260">
                  <c:v>4.9999999999999707</c:v>
                </c:pt>
                <c:pt idx="261">
                  <c:v>5.0499999999999705</c:v>
                </c:pt>
                <c:pt idx="262">
                  <c:v>5.0999999999999703</c:v>
                </c:pt>
                <c:pt idx="263">
                  <c:v>5.1499999999999702</c:v>
                </c:pt>
                <c:pt idx="264">
                  <c:v>5.19999999999997</c:v>
                </c:pt>
                <c:pt idx="265">
                  <c:v>5.2499999999999698</c:v>
                </c:pt>
                <c:pt idx="266">
                  <c:v>5.2999999999999696</c:v>
                </c:pt>
                <c:pt idx="267">
                  <c:v>5.3499999999999694</c:v>
                </c:pt>
                <c:pt idx="268">
                  <c:v>5.3999999999999693</c:v>
                </c:pt>
                <c:pt idx="269">
                  <c:v>5.4499999999999691</c:v>
                </c:pt>
                <c:pt idx="270">
                  <c:v>5.4999999999999689</c:v>
                </c:pt>
                <c:pt idx="271">
                  <c:v>5.5499999999999687</c:v>
                </c:pt>
                <c:pt idx="272">
                  <c:v>5.5999999999999686</c:v>
                </c:pt>
                <c:pt idx="273">
                  <c:v>5.6499999999999684</c:v>
                </c:pt>
                <c:pt idx="274">
                  <c:v>5.6999999999999682</c:v>
                </c:pt>
                <c:pt idx="275">
                  <c:v>5.749999999999968</c:v>
                </c:pt>
                <c:pt idx="276">
                  <c:v>5.7999999999999678</c:v>
                </c:pt>
                <c:pt idx="277">
                  <c:v>5.8499999999999677</c:v>
                </c:pt>
                <c:pt idx="278">
                  <c:v>5.8999999999999675</c:v>
                </c:pt>
                <c:pt idx="279">
                  <c:v>5.9499999999999673</c:v>
                </c:pt>
                <c:pt idx="280">
                  <c:v>5.9999999999999671</c:v>
                </c:pt>
                <c:pt idx="281">
                  <c:v>6.049999999999967</c:v>
                </c:pt>
                <c:pt idx="282">
                  <c:v>6.0999999999999668</c:v>
                </c:pt>
                <c:pt idx="283">
                  <c:v>6.1499999999999666</c:v>
                </c:pt>
                <c:pt idx="284">
                  <c:v>6.1999999999999664</c:v>
                </c:pt>
                <c:pt idx="285">
                  <c:v>6.2499999999999662</c:v>
                </c:pt>
                <c:pt idx="286">
                  <c:v>6.2999999999999661</c:v>
                </c:pt>
                <c:pt idx="287">
                  <c:v>6.3499999999999659</c:v>
                </c:pt>
                <c:pt idx="288">
                  <c:v>6.3999999999999657</c:v>
                </c:pt>
                <c:pt idx="289">
                  <c:v>6.4499999999999655</c:v>
                </c:pt>
                <c:pt idx="290">
                  <c:v>6.4999999999999654</c:v>
                </c:pt>
                <c:pt idx="291">
                  <c:v>6.5499999999999652</c:v>
                </c:pt>
                <c:pt idx="292">
                  <c:v>6.599999999999965</c:v>
                </c:pt>
                <c:pt idx="293">
                  <c:v>6.6499999999999648</c:v>
                </c:pt>
                <c:pt idx="294">
                  <c:v>6.6999999999999647</c:v>
                </c:pt>
                <c:pt idx="295">
                  <c:v>6.7499999999999645</c:v>
                </c:pt>
                <c:pt idx="296">
                  <c:v>6.7999999999999643</c:v>
                </c:pt>
                <c:pt idx="297">
                  <c:v>6.8499999999999641</c:v>
                </c:pt>
                <c:pt idx="298">
                  <c:v>6.8999999999999639</c:v>
                </c:pt>
                <c:pt idx="299">
                  <c:v>6.9499999999999638</c:v>
                </c:pt>
                <c:pt idx="300">
                  <c:v>6.9999999999999636</c:v>
                </c:pt>
                <c:pt idx="301">
                  <c:v>7.0499999999999634</c:v>
                </c:pt>
                <c:pt idx="302">
                  <c:v>7.0999999999999632</c:v>
                </c:pt>
                <c:pt idx="303">
                  <c:v>7.1499999999999631</c:v>
                </c:pt>
                <c:pt idx="304">
                  <c:v>7.1999999999999629</c:v>
                </c:pt>
                <c:pt idx="305">
                  <c:v>7.2499999999999627</c:v>
                </c:pt>
                <c:pt idx="306">
                  <c:v>7.2999999999999625</c:v>
                </c:pt>
                <c:pt idx="307">
                  <c:v>7.3499999999999623</c:v>
                </c:pt>
                <c:pt idx="308">
                  <c:v>7.3999999999999622</c:v>
                </c:pt>
                <c:pt idx="309">
                  <c:v>7.449999999999962</c:v>
                </c:pt>
                <c:pt idx="310">
                  <c:v>7.4999999999999618</c:v>
                </c:pt>
                <c:pt idx="311">
                  <c:v>7.5499999999999616</c:v>
                </c:pt>
                <c:pt idx="312">
                  <c:v>7.5999999999999615</c:v>
                </c:pt>
                <c:pt idx="313">
                  <c:v>7.6499999999999613</c:v>
                </c:pt>
                <c:pt idx="314">
                  <c:v>7.6999999999999611</c:v>
                </c:pt>
                <c:pt idx="315">
                  <c:v>7.7499999999999609</c:v>
                </c:pt>
                <c:pt idx="316">
                  <c:v>7.7999999999999607</c:v>
                </c:pt>
                <c:pt idx="317">
                  <c:v>7.8499999999999606</c:v>
                </c:pt>
                <c:pt idx="318">
                  <c:v>7.8999999999999604</c:v>
                </c:pt>
                <c:pt idx="319">
                  <c:v>7.9499999999999602</c:v>
                </c:pt>
                <c:pt idx="320">
                  <c:v>7.99999999999996</c:v>
                </c:pt>
              </c:numCache>
            </c:numRef>
          </c:xVal>
          <c:yVal>
            <c:numRef>
              <c:f>Solution!$N$24:$N$344</c:f>
              <c:numCache>
                <c:formatCode>0.00</c:formatCode>
                <c:ptCount val="321"/>
                <c:pt idx="0">
                  <c:v>44083.68796689569</c:v>
                </c:pt>
                <c:pt idx="1">
                  <c:v>43689.755036334587</c:v>
                </c:pt>
                <c:pt idx="2">
                  <c:v>43295.822105773492</c:v>
                </c:pt>
                <c:pt idx="3">
                  <c:v>42901.889175212396</c:v>
                </c:pt>
                <c:pt idx="4">
                  <c:v>42509.691752489714</c:v>
                </c:pt>
                <c:pt idx="5">
                  <c:v>42127.683862802216</c:v>
                </c:pt>
                <c:pt idx="6">
                  <c:v>41745.675973114725</c:v>
                </c:pt>
                <c:pt idx="7">
                  <c:v>41363.668083427227</c:v>
                </c:pt>
                <c:pt idx="8">
                  <c:v>40981.660193739728</c:v>
                </c:pt>
                <c:pt idx="9">
                  <c:v>40599.652304052244</c:v>
                </c:pt>
                <c:pt idx="10">
                  <c:v>40217.644414364746</c:v>
                </c:pt>
                <c:pt idx="11">
                  <c:v>39835.636524677248</c:v>
                </c:pt>
                <c:pt idx="12">
                  <c:v>39453.628634989756</c:v>
                </c:pt>
                <c:pt idx="13">
                  <c:v>39071.620745302258</c:v>
                </c:pt>
                <c:pt idx="14">
                  <c:v>38689.61285561476</c:v>
                </c:pt>
                <c:pt idx="15">
                  <c:v>38307.604965927268</c:v>
                </c:pt>
                <c:pt idx="16">
                  <c:v>37918.873758921334</c:v>
                </c:pt>
                <c:pt idx="17">
                  <c:v>37474.186872537444</c:v>
                </c:pt>
                <c:pt idx="18">
                  <c:v>37029.499986153547</c:v>
                </c:pt>
                <c:pt idx="19">
                  <c:v>36584.813099769657</c:v>
                </c:pt>
                <c:pt idx="20">
                  <c:v>36140.126213385753</c:v>
                </c:pt>
                <c:pt idx="21">
                  <c:v>35705.58010772233</c:v>
                </c:pt>
                <c:pt idx="22">
                  <c:v>35330.255703460731</c:v>
                </c:pt>
                <c:pt idx="23">
                  <c:v>34954.931299199125</c:v>
                </c:pt>
                <c:pt idx="24">
                  <c:v>34579.606894937526</c:v>
                </c:pt>
                <c:pt idx="25">
                  <c:v>34204.282490675912</c:v>
                </c:pt>
                <c:pt idx="26">
                  <c:v>33828.958086414314</c:v>
                </c:pt>
                <c:pt idx="27">
                  <c:v>33453.633682152722</c:v>
                </c:pt>
                <c:pt idx="28">
                  <c:v>33078.309277891109</c:v>
                </c:pt>
                <c:pt idx="29">
                  <c:v>32702.98487362951</c:v>
                </c:pt>
                <c:pt idx="30">
                  <c:v>32335.821318622915</c:v>
                </c:pt>
                <c:pt idx="31">
                  <c:v>32084.266596885838</c:v>
                </c:pt>
                <c:pt idx="32">
                  <c:v>31821.371888754995</c:v>
                </c:pt>
                <c:pt idx="33">
                  <c:v>31469.753821872466</c:v>
                </c:pt>
                <c:pt idx="34">
                  <c:v>31110.099166784967</c:v>
                </c:pt>
                <c:pt idx="35">
                  <c:v>30750.444511697464</c:v>
                </c:pt>
                <c:pt idx="36">
                  <c:v>30390.789856609972</c:v>
                </c:pt>
                <c:pt idx="37">
                  <c:v>30031.135201522473</c:v>
                </c:pt>
                <c:pt idx="38">
                  <c:v>29671.48054643497</c:v>
                </c:pt>
                <c:pt idx="39">
                  <c:v>29311.825891347471</c:v>
                </c:pt>
                <c:pt idx="40">
                  <c:v>28952.171236259968</c:v>
                </c:pt>
                <c:pt idx="41">
                  <c:v>28592.516581172473</c:v>
                </c:pt>
                <c:pt idx="42">
                  <c:v>28232.861926084974</c:v>
                </c:pt>
                <c:pt idx="43">
                  <c:v>27873.207270997475</c:v>
                </c:pt>
                <c:pt idx="44">
                  <c:v>27513.552615909972</c:v>
                </c:pt>
                <c:pt idx="45">
                  <c:v>27153.897960822473</c:v>
                </c:pt>
                <c:pt idx="46">
                  <c:v>26794.243305734977</c:v>
                </c:pt>
                <c:pt idx="47">
                  <c:v>26434.588650647474</c:v>
                </c:pt>
                <c:pt idx="48">
                  <c:v>26074.933995559975</c:v>
                </c:pt>
                <c:pt idx="49">
                  <c:v>25715.279340472476</c:v>
                </c:pt>
                <c:pt idx="50">
                  <c:v>25362.364347809038</c:v>
                </c:pt>
                <c:pt idx="51">
                  <c:v>25063.604615115157</c:v>
                </c:pt>
                <c:pt idx="52">
                  <c:v>24764.844882421268</c:v>
                </c:pt>
                <c:pt idx="53">
                  <c:v>24549.002876221835</c:v>
                </c:pt>
                <c:pt idx="54">
                  <c:v>24410.574676108721</c:v>
                </c:pt>
                <c:pt idx="55">
                  <c:v>24272.146475995607</c:v>
                </c:pt>
                <c:pt idx="56">
                  <c:v>24133.718275882493</c:v>
                </c:pt>
                <c:pt idx="57">
                  <c:v>23995.290075769382</c:v>
                </c:pt>
                <c:pt idx="58">
                  <c:v>23675.887090038661</c:v>
                </c:pt>
                <c:pt idx="59">
                  <c:v>23213.164124214374</c:v>
                </c:pt>
                <c:pt idx="60">
                  <c:v>22750.441158390087</c:v>
                </c:pt>
                <c:pt idx="61">
                  <c:v>22301.715107048163</c:v>
                </c:pt>
                <c:pt idx="62">
                  <c:v>21998.000554867765</c:v>
                </c:pt>
                <c:pt idx="63">
                  <c:v>21932.044655534613</c:v>
                </c:pt>
                <c:pt idx="64">
                  <c:v>21873.683301729514</c:v>
                </c:pt>
                <c:pt idx="65">
                  <c:v>21619.615440292659</c:v>
                </c:pt>
                <c:pt idx="66">
                  <c:v>21466.946077472923</c:v>
                </c:pt>
                <c:pt idx="67">
                  <c:v>21337.372685293412</c:v>
                </c:pt>
                <c:pt idx="68">
                  <c:v>21207.799293113902</c:v>
                </c:pt>
                <c:pt idx="69">
                  <c:v>21020.066094892223</c:v>
                </c:pt>
                <c:pt idx="70">
                  <c:v>21125.46139457091</c:v>
                </c:pt>
                <c:pt idx="71">
                  <c:v>21091.213784675419</c:v>
                </c:pt>
                <c:pt idx="72">
                  <c:v>21071.149581835933</c:v>
                </c:pt>
                <c:pt idx="73">
                  <c:v>21122.471311480615</c:v>
                </c:pt>
                <c:pt idx="74">
                  <c:v>21252.788529349098</c:v>
                </c:pt>
                <c:pt idx="75">
                  <c:v>21231.708409873423</c:v>
                </c:pt>
                <c:pt idx="76">
                  <c:v>21173.347056068327</c:v>
                </c:pt>
                <c:pt idx="77">
                  <c:v>21114.985702263228</c:v>
                </c:pt>
                <c:pt idx="78">
                  <c:v>21056.624348458128</c:v>
                </c:pt>
                <c:pt idx="79">
                  <c:v>20841.547690645668</c:v>
                </c:pt>
                <c:pt idx="80">
                  <c:v>20548.725472080179</c:v>
                </c:pt>
                <c:pt idx="81">
                  <c:v>20413.295306051961</c:v>
                </c:pt>
                <c:pt idx="82">
                  <c:v>20287.44624410395</c:v>
                </c:pt>
                <c:pt idx="83">
                  <c:v>20161.59718215594</c:v>
                </c:pt>
                <c:pt idx="84">
                  <c:v>20098.198081878683</c:v>
                </c:pt>
                <c:pt idx="85">
                  <c:v>20073.723744622399</c:v>
                </c:pt>
                <c:pt idx="86">
                  <c:v>20049.249407366111</c:v>
                </c:pt>
                <c:pt idx="87">
                  <c:v>20024.775070109823</c:v>
                </c:pt>
                <c:pt idx="88">
                  <c:v>20077.943165306329</c:v>
                </c:pt>
                <c:pt idx="89">
                  <c:v>20190.619845507619</c:v>
                </c:pt>
                <c:pt idx="90">
                  <c:v>20303.296525708909</c:v>
                </c:pt>
                <c:pt idx="91">
                  <c:v>20297.926748991842</c:v>
                </c:pt>
                <c:pt idx="92">
                  <c:v>20239.565395186743</c:v>
                </c:pt>
                <c:pt idx="93">
                  <c:v>20181.204041381647</c:v>
                </c:pt>
                <c:pt idx="94">
                  <c:v>20122.842687576544</c:v>
                </c:pt>
                <c:pt idx="95">
                  <c:v>20064.481333771448</c:v>
                </c:pt>
                <c:pt idx="96">
                  <c:v>20006.119979966348</c:v>
                </c:pt>
                <c:pt idx="97">
                  <c:v>19947.758626161249</c:v>
                </c:pt>
                <c:pt idx="98">
                  <c:v>19889.397272356149</c:v>
                </c:pt>
                <c:pt idx="99">
                  <c:v>19831.035918551053</c:v>
                </c:pt>
                <c:pt idx="100">
                  <c:v>19772.67456474595</c:v>
                </c:pt>
                <c:pt idx="101">
                  <c:v>19714.313210940854</c:v>
                </c:pt>
                <c:pt idx="102">
                  <c:v>19655.951857135755</c:v>
                </c:pt>
                <c:pt idx="103">
                  <c:v>19597.590503330655</c:v>
                </c:pt>
                <c:pt idx="104">
                  <c:v>19554.447127165586</c:v>
                </c:pt>
                <c:pt idx="105">
                  <c:v>19532.975049900495</c:v>
                </c:pt>
                <c:pt idx="106">
                  <c:v>19561.333497657495</c:v>
                </c:pt>
                <c:pt idx="107">
                  <c:v>19791.271152299887</c:v>
                </c:pt>
                <c:pt idx="108">
                  <c:v>19819.918314801231</c:v>
                </c:pt>
                <c:pt idx="109">
                  <c:v>19753.75925334575</c:v>
                </c:pt>
                <c:pt idx="110">
                  <c:v>19751.074308515144</c:v>
                </c:pt>
                <c:pt idx="111">
                  <c:v>19956.033295640034</c:v>
                </c:pt>
                <c:pt idx="112">
                  <c:v>20184.903337204923</c:v>
                </c:pt>
                <c:pt idx="113">
                  <c:v>20413.773378769816</c:v>
                </c:pt>
                <c:pt idx="114">
                  <c:v>20642.643420334705</c:v>
                </c:pt>
                <c:pt idx="115">
                  <c:v>20871.513461899598</c:v>
                </c:pt>
                <c:pt idx="116">
                  <c:v>21105.526511080054</c:v>
                </c:pt>
                <c:pt idx="117">
                  <c:v>21377.703778010055</c:v>
                </c:pt>
                <c:pt idx="118">
                  <c:v>21649.881044940055</c:v>
                </c:pt>
                <c:pt idx="119">
                  <c:v>21922.058311870056</c:v>
                </c:pt>
                <c:pt idx="120">
                  <c:v>22194.235578800057</c:v>
                </c:pt>
                <c:pt idx="121">
                  <c:v>22466.412845730058</c:v>
                </c:pt>
                <c:pt idx="122">
                  <c:v>22738.590112660058</c:v>
                </c:pt>
                <c:pt idx="123">
                  <c:v>23010.767379590063</c:v>
                </c:pt>
                <c:pt idx="124">
                  <c:v>23282.94464652006</c:v>
                </c:pt>
                <c:pt idx="125">
                  <c:v>23555.121913450064</c:v>
                </c:pt>
                <c:pt idx="126">
                  <c:v>23827.299180380069</c:v>
                </c:pt>
                <c:pt idx="127">
                  <c:v>24099.476447310069</c:v>
                </c:pt>
                <c:pt idx="128">
                  <c:v>24371.65371424007</c:v>
                </c:pt>
                <c:pt idx="129">
                  <c:v>24643.830981170071</c:v>
                </c:pt>
                <c:pt idx="130">
                  <c:v>24945.477185699943</c:v>
                </c:pt>
                <c:pt idx="131">
                  <c:v>25261.614877269938</c:v>
                </c:pt>
                <c:pt idx="132">
                  <c:v>25577.752568839936</c:v>
                </c:pt>
                <c:pt idx="133">
                  <c:v>25893.890260409931</c:v>
                </c:pt>
                <c:pt idx="134">
                  <c:v>26210.027951979926</c:v>
                </c:pt>
                <c:pt idx="135">
                  <c:v>26526.165643549921</c:v>
                </c:pt>
                <c:pt idx="136">
                  <c:v>26864.939099193423</c:v>
                </c:pt>
                <c:pt idx="137">
                  <c:v>27240.980440987034</c:v>
                </c:pt>
                <c:pt idx="138">
                  <c:v>27663.198641622857</c:v>
                </c:pt>
                <c:pt idx="139">
                  <c:v>28132.005703125531</c:v>
                </c:pt>
                <c:pt idx="140">
                  <c:v>28324.878885231938</c:v>
                </c:pt>
                <c:pt idx="141">
                  <c:v>28574.940263722005</c:v>
                </c:pt>
                <c:pt idx="142">
                  <c:v>28871.251934086096</c:v>
                </c:pt>
                <c:pt idx="143">
                  <c:v>29167.563604450188</c:v>
                </c:pt>
                <c:pt idx="144">
                  <c:v>29463.87527481428</c:v>
                </c:pt>
                <c:pt idx="145">
                  <c:v>29760.186945178375</c:v>
                </c:pt>
                <c:pt idx="146">
                  <c:v>30056.498615542467</c:v>
                </c:pt>
                <c:pt idx="147">
                  <c:v>30352.810285906558</c:v>
                </c:pt>
                <c:pt idx="148">
                  <c:v>30658.490664910616</c:v>
                </c:pt>
                <c:pt idx="149">
                  <c:v>30991.477469394715</c:v>
                </c:pt>
                <c:pt idx="150">
                  <c:v>31324.464273878813</c:v>
                </c:pt>
                <c:pt idx="151">
                  <c:v>31657.451078362916</c:v>
                </c:pt>
                <c:pt idx="152">
                  <c:v>31990.437882847014</c:v>
                </c:pt>
                <c:pt idx="153">
                  <c:v>32323.424687331113</c:v>
                </c:pt>
                <c:pt idx="154">
                  <c:v>32656.411491815212</c:v>
                </c:pt>
                <c:pt idx="155">
                  <c:v>32989.39829629931</c:v>
                </c:pt>
                <c:pt idx="156">
                  <c:v>33322.385100783409</c:v>
                </c:pt>
                <c:pt idx="157">
                  <c:v>33655.371905267515</c:v>
                </c:pt>
                <c:pt idx="158">
                  <c:v>33988.358709751614</c:v>
                </c:pt>
                <c:pt idx="159">
                  <c:v>34321.34551423572</c:v>
                </c:pt>
                <c:pt idx="160">
                  <c:v>34654.332318719818</c:v>
                </c:pt>
                <c:pt idx="161">
                  <c:v>34987.319123203917</c:v>
                </c:pt>
                <c:pt idx="162">
                  <c:v>35320.305927688016</c:v>
                </c:pt>
                <c:pt idx="163">
                  <c:v>35653.292732172114</c:v>
                </c:pt>
                <c:pt idx="164">
                  <c:v>35986.279536656213</c:v>
                </c:pt>
                <c:pt idx="165">
                  <c:v>36319.266341140312</c:v>
                </c:pt>
                <c:pt idx="166">
                  <c:v>36652.253145624411</c:v>
                </c:pt>
                <c:pt idx="167">
                  <c:v>36985.239950108509</c:v>
                </c:pt>
                <c:pt idx="168">
                  <c:v>37372.023846751028</c:v>
                </c:pt>
                <c:pt idx="169">
                  <c:v>37774.942808719949</c:v>
                </c:pt>
                <c:pt idx="170">
                  <c:v>38177.861770688869</c:v>
                </c:pt>
                <c:pt idx="171">
                  <c:v>38767.39857110953</c:v>
                </c:pt>
                <c:pt idx="172">
                  <c:v>38977.912290883141</c:v>
                </c:pt>
                <c:pt idx="173">
                  <c:v>39188.426010656745</c:v>
                </c:pt>
                <c:pt idx="174">
                  <c:v>39482.318549132491</c:v>
                </c:pt>
                <c:pt idx="175">
                  <c:v>39783.040353913384</c:v>
                </c:pt>
                <c:pt idx="176">
                  <c:v>40083.762158694277</c:v>
                </c:pt>
                <c:pt idx="177">
                  <c:v>40384.48396347517</c:v>
                </c:pt>
                <c:pt idx="178">
                  <c:v>40712.852696924849</c:v>
                </c:pt>
                <c:pt idx="179">
                  <c:v>41061.921850487357</c:v>
                </c:pt>
                <c:pt idx="180">
                  <c:v>41410.991004049865</c:v>
                </c:pt>
                <c:pt idx="181">
                  <c:v>41760.060157612366</c:v>
                </c:pt>
                <c:pt idx="182">
                  <c:v>42109.129311174875</c:v>
                </c:pt>
                <c:pt idx="183">
                  <c:v>42458.198464737376</c:v>
                </c:pt>
                <c:pt idx="184">
                  <c:v>42807.267618299877</c:v>
                </c:pt>
                <c:pt idx="185">
                  <c:v>43178.904128499882</c:v>
                </c:pt>
                <c:pt idx="186">
                  <c:v>43582.807243399875</c:v>
                </c:pt>
                <c:pt idx="187">
                  <c:v>43986.710358299875</c:v>
                </c:pt>
                <c:pt idx="188">
                  <c:v>44390.613473199875</c:v>
                </c:pt>
                <c:pt idx="189">
                  <c:v>44820.413836731939</c:v>
                </c:pt>
                <c:pt idx="190">
                  <c:v>45254.270192846845</c:v>
                </c:pt>
                <c:pt idx="191">
                  <c:v>45688.126548961751</c:v>
                </c:pt>
                <c:pt idx="192">
                  <c:v>46121.982905076657</c:v>
                </c:pt>
                <c:pt idx="193">
                  <c:v>46555.839261191555</c:v>
                </c:pt>
                <c:pt idx="194">
                  <c:v>47000.612972751158</c:v>
                </c:pt>
                <c:pt idx="195">
                  <c:v>47469.495091173252</c:v>
                </c:pt>
                <c:pt idx="196">
                  <c:v>47938.377209595346</c:v>
                </c:pt>
                <c:pt idx="197">
                  <c:v>48407.259328017441</c:v>
                </c:pt>
                <c:pt idx="198">
                  <c:v>48876.141446439542</c:v>
                </c:pt>
                <c:pt idx="199">
                  <c:v>49345.023564861636</c:v>
                </c:pt>
                <c:pt idx="200">
                  <c:v>49813.90568328373</c:v>
                </c:pt>
                <c:pt idx="201">
                  <c:v>50282.787801705825</c:v>
                </c:pt>
                <c:pt idx="202">
                  <c:v>50751.669920127919</c:v>
                </c:pt>
                <c:pt idx="203">
                  <c:v>51220.55203855002</c:v>
                </c:pt>
                <c:pt idx="204">
                  <c:v>51689.434156972107</c:v>
                </c:pt>
                <c:pt idx="205">
                  <c:v>52158.316275394202</c:v>
                </c:pt>
                <c:pt idx="206">
                  <c:v>52627.198393816296</c:v>
                </c:pt>
                <c:pt idx="207">
                  <c:v>53096.08051223839</c:v>
                </c:pt>
                <c:pt idx="208">
                  <c:v>53564.962630660491</c:v>
                </c:pt>
                <c:pt idx="209">
                  <c:v>54033.844749082578</c:v>
                </c:pt>
                <c:pt idx="210">
                  <c:v>54502.726867504673</c:v>
                </c:pt>
                <c:pt idx="211">
                  <c:v>54971.608985926767</c:v>
                </c:pt>
                <c:pt idx="212">
                  <c:v>55440.491104348861</c:v>
                </c:pt>
                <c:pt idx="213">
                  <c:v>55909.373222770955</c:v>
                </c:pt>
                <c:pt idx="214">
                  <c:v>56378.255341193049</c:v>
                </c:pt>
                <c:pt idx="215">
                  <c:v>56852.103532677647</c:v>
                </c:pt>
                <c:pt idx="216">
                  <c:v>57353.77722973725</c:v>
                </c:pt>
                <c:pt idx="217">
                  <c:v>57855.450926796846</c:v>
                </c:pt>
                <c:pt idx="218">
                  <c:v>58357.124623856449</c:v>
                </c:pt>
                <c:pt idx="219">
                  <c:v>58858.798320916052</c:v>
                </c:pt>
                <c:pt idx="220">
                  <c:v>59360.472017975648</c:v>
                </c:pt>
                <c:pt idx="221">
                  <c:v>59862.145715035251</c:v>
                </c:pt>
                <c:pt idx="222">
                  <c:v>60363.819412094854</c:v>
                </c:pt>
                <c:pt idx="223">
                  <c:v>60651.919409650778</c:v>
                </c:pt>
                <c:pt idx="224">
                  <c:v>61086.45066434551</c:v>
                </c:pt>
                <c:pt idx="225">
                  <c:v>61585.570000278385</c:v>
                </c:pt>
                <c:pt idx="226">
                  <c:v>62084.689336211275</c:v>
                </c:pt>
                <c:pt idx="227">
                  <c:v>62545.638620737111</c:v>
                </c:pt>
                <c:pt idx="228">
                  <c:v>62960.292658529586</c:v>
                </c:pt>
                <c:pt idx="229">
                  <c:v>63411.487117524463</c:v>
                </c:pt>
                <c:pt idx="230">
                  <c:v>63880.369235946549</c:v>
                </c:pt>
                <c:pt idx="231">
                  <c:v>64349.251354368636</c:v>
                </c:pt>
                <c:pt idx="232">
                  <c:v>64818.133472790738</c:v>
                </c:pt>
                <c:pt idx="233">
                  <c:v>65287.015591212825</c:v>
                </c:pt>
                <c:pt idx="234">
                  <c:v>65755.897709634912</c:v>
                </c:pt>
                <c:pt idx="235">
                  <c:v>66224.779828057013</c:v>
                </c:pt>
                <c:pt idx="236">
                  <c:v>66693.661946479115</c:v>
                </c:pt>
                <c:pt idx="237">
                  <c:v>67162.544064901216</c:v>
                </c:pt>
                <c:pt idx="238">
                  <c:v>67631.426183323303</c:v>
                </c:pt>
                <c:pt idx="239">
                  <c:v>68100.30830174539</c:v>
                </c:pt>
                <c:pt idx="240">
                  <c:v>68569.190420167492</c:v>
                </c:pt>
                <c:pt idx="241">
                  <c:v>69038.072538589578</c:v>
                </c:pt>
                <c:pt idx="242">
                  <c:v>69506.954657011665</c:v>
                </c:pt>
                <c:pt idx="243">
                  <c:v>69975.836775433767</c:v>
                </c:pt>
                <c:pt idx="244">
                  <c:v>70444.718893855854</c:v>
                </c:pt>
                <c:pt idx="245">
                  <c:v>70913.601012277955</c:v>
                </c:pt>
                <c:pt idx="246">
                  <c:v>71382.483130700057</c:v>
                </c:pt>
                <c:pt idx="247">
                  <c:v>71851.365249122144</c:v>
                </c:pt>
                <c:pt idx="248">
                  <c:v>72320.247367544245</c:v>
                </c:pt>
                <c:pt idx="249">
                  <c:v>72789.129485966332</c:v>
                </c:pt>
                <c:pt idx="250">
                  <c:v>73258.011604388434</c:v>
                </c:pt>
                <c:pt idx="251">
                  <c:v>73726.893722810521</c:v>
                </c:pt>
                <c:pt idx="252">
                  <c:v>74195.775841232607</c:v>
                </c:pt>
                <c:pt idx="253">
                  <c:v>74664.657959654709</c:v>
                </c:pt>
                <c:pt idx="254">
                  <c:v>75133.540078076796</c:v>
                </c:pt>
                <c:pt idx="255">
                  <c:v>75602.422196498897</c:v>
                </c:pt>
                <c:pt idx="256">
                  <c:v>76071.304314920984</c:v>
                </c:pt>
                <c:pt idx="257">
                  <c:v>76540.186433343086</c:v>
                </c:pt>
                <c:pt idx="258">
                  <c:v>77009.068551765187</c:v>
                </c:pt>
                <c:pt idx="259">
                  <c:v>77477.950670187274</c:v>
                </c:pt>
                <c:pt idx="260">
                  <c:v>77946.832788609361</c:v>
                </c:pt>
                <c:pt idx="261">
                  <c:v>78415.714907031463</c:v>
                </c:pt>
                <c:pt idx="262">
                  <c:v>78884.59702545355</c:v>
                </c:pt>
                <c:pt idx="263">
                  <c:v>79353.479143875637</c:v>
                </c:pt>
                <c:pt idx="264">
                  <c:v>79822.361262297738</c:v>
                </c:pt>
                <c:pt idx="265">
                  <c:v>80291.243380719825</c:v>
                </c:pt>
                <c:pt idx="266">
                  <c:v>80760.125499141926</c:v>
                </c:pt>
                <c:pt idx="267">
                  <c:v>81229.007617564028</c:v>
                </c:pt>
                <c:pt idx="268">
                  <c:v>81697.889735986115</c:v>
                </c:pt>
                <c:pt idx="269">
                  <c:v>82166.771854408216</c:v>
                </c:pt>
                <c:pt idx="270">
                  <c:v>82635.653972830303</c:v>
                </c:pt>
                <c:pt idx="271">
                  <c:v>83104.53609125239</c:v>
                </c:pt>
                <c:pt idx="272">
                  <c:v>83573.418209674492</c:v>
                </c:pt>
                <c:pt idx="273">
                  <c:v>84042.300328096579</c:v>
                </c:pt>
                <c:pt idx="274">
                  <c:v>84511.18244651868</c:v>
                </c:pt>
                <c:pt idx="275">
                  <c:v>84980.064564940767</c:v>
                </c:pt>
                <c:pt idx="276">
                  <c:v>85448.946683362868</c:v>
                </c:pt>
                <c:pt idx="277">
                  <c:v>85917.82880178497</c:v>
                </c:pt>
                <c:pt idx="278">
                  <c:v>86386.710920207057</c:v>
                </c:pt>
                <c:pt idx="279">
                  <c:v>86855.593038629144</c:v>
                </c:pt>
                <c:pt idx="280">
                  <c:v>87324.475157051245</c:v>
                </c:pt>
                <c:pt idx="281">
                  <c:v>87793.357275473332</c:v>
                </c:pt>
                <c:pt idx="282">
                  <c:v>88262.239393895434</c:v>
                </c:pt>
                <c:pt idx="283">
                  <c:v>88731.121512317521</c:v>
                </c:pt>
                <c:pt idx="284">
                  <c:v>89200.003630739608</c:v>
                </c:pt>
                <c:pt idx="285">
                  <c:v>89668.885749161709</c:v>
                </c:pt>
                <c:pt idx="286">
                  <c:v>90137.767867583811</c:v>
                </c:pt>
                <c:pt idx="287">
                  <c:v>90606.649986005898</c:v>
                </c:pt>
                <c:pt idx="288">
                  <c:v>91075.532104427999</c:v>
                </c:pt>
                <c:pt idx="289">
                  <c:v>91544.414222850086</c:v>
                </c:pt>
                <c:pt idx="290">
                  <c:v>92013.296341272187</c:v>
                </c:pt>
                <c:pt idx="291">
                  <c:v>92482.178459694274</c:v>
                </c:pt>
                <c:pt idx="292">
                  <c:v>92951.060578116361</c:v>
                </c:pt>
                <c:pt idx="293">
                  <c:v>93419.942696538463</c:v>
                </c:pt>
                <c:pt idx="294">
                  <c:v>93888.82481496055</c:v>
                </c:pt>
                <c:pt idx="295">
                  <c:v>94357.706933382637</c:v>
                </c:pt>
                <c:pt idx="296">
                  <c:v>94826.589051804753</c:v>
                </c:pt>
                <c:pt idx="297">
                  <c:v>95295.47117022684</c:v>
                </c:pt>
                <c:pt idx="298">
                  <c:v>95764.353288648927</c:v>
                </c:pt>
                <c:pt idx="299">
                  <c:v>96233.235407071028</c:v>
                </c:pt>
                <c:pt idx="300">
                  <c:v>96702.117525493115</c:v>
                </c:pt>
                <c:pt idx="301">
                  <c:v>97170.999643915202</c:v>
                </c:pt>
                <c:pt idx="302">
                  <c:v>97639.881762337303</c:v>
                </c:pt>
                <c:pt idx="303">
                  <c:v>98108.76388075939</c:v>
                </c:pt>
                <c:pt idx="304">
                  <c:v>98577.645999181492</c:v>
                </c:pt>
                <c:pt idx="305">
                  <c:v>99046.528117603593</c:v>
                </c:pt>
                <c:pt idx="306">
                  <c:v>99515.41023602568</c:v>
                </c:pt>
                <c:pt idx="307">
                  <c:v>99984.292354447767</c:v>
                </c:pt>
                <c:pt idx="308">
                  <c:v>100453.17447286987</c:v>
                </c:pt>
                <c:pt idx="309">
                  <c:v>100922.05659129196</c:v>
                </c:pt>
                <c:pt idx="310">
                  <c:v>101390.93870971406</c:v>
                </c:pt>
                <c:pt idx="311">
                  <c:v>101859.82082813614</c:v>
                </c:pt>
                <c:pt idx="312">
                  <c:v>102328.70294655825</c:v>
                </c:pt>
                <c:pt idx="313">
                  <c:v>102797.58506498033</c:v>
                </c:pt>
                <c:pt idx="314">
                  <c:v>103266.46718340242</c:v>
                </c:pt>
                <c:pt idx="315">
                  <c:v>103735.34930182452</c:v>
                </c:pt>
                <c:pt idx="316">
                  <c:v>104204.23142024662</c:v>
                </c:pt>
                <c:pt idx="317">
                  <c:v>104673.11353866871</c:v>
                </c:pt>
                <c:pt idx="318">
                  <c:v>105141.99565709081</c:v>
                </c:pt>
                <c:pt idx="319">
                  <c:v>105610.8777755129</c:v>
                </c:pt>
                <c:pt idx="320">
                  <c:v>106079.759893935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0C-9744-96D1-62C31C254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315440"/>
        <c:axId val="764290544"/>
      </c:scatterChart>
      <c:valAx>
        <c:axId val="76431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90544"/>
        <c:crosses val="autoZero"/>
        <c:crossBetween val="midCat"/>
      </c:valAx>
      <c:valAx>
        <c:axId val="76429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31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182567</xdr:colOff>
      <xdr:row>1</xdr:row>
      <xdr:rowOff>66675</xdr:rowOff>
    </xdr:from>
    <xdr:to>
      <xdr:col>11</xdr:col>
      <xdr:colOff>114300</xdr:colOff>
      <xdr:row>14</xdr:row>
      <xdr:rowOff>171895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57D3F7-F72D-42FD-AF83-B20C4733D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50217" y="295275"/>
          <a:ext cx="7589833" cy="3077020"/>
        </a:xfrm>
        <a:prstGeom prst="rect">
          <a:avLst/>
        </a:prstGeom>
      </xdr:spPr>
    </xdr:pic>
    <xdr:clientData/>
  </xdr:twoCellAnchor>
  <xdr:twoCellAnchor editAs="oneCell">
    <xdr:from>
      <xdr:col>5</xdr:col>
      <xdr:colOff>352425</xdr:colOff>
      <xdr:row>22</xdr:row>
      <xdr:rowOff>114300</xdr:rowOff>
    </xdr:from>
    <xdr:to>
      <xdr:col>11</xdr:col>
      <xdr:colOff>601269</xdr:colOff>
      <xdr:row>39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3B76ED-BC47-4F7E-8956-1DB44C757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00975" y="5172075"/>
          <a:ext cx="7906944" cy="3819525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48</xdr:row>
      <xdr:rowOff>19050</xdr:rowOff>
    </xdr:from>
    <xdr:to>
      <xdr:col>9</xdr:col>
      <xdr:colOff>1238931</xdr:colOff>
      <xdr:row>58</xdr:row>
      <xdr:rowOff>171790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6E762D-DCD4-4D52-9AC5-B48C827DB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15400" y="10134600"/>
          <a:ext cx="4877481" cy="2438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469900</xdr:colOff>
      <xdr:row>21</xdr:row>
      <xdr:rowOff>165100</xdr:rowOff>
    </xdr:from>
    <xdr:to>
      <xdr:col>22</xdr:col>
      <xdr:colOff>196850</xdr:colOff>
      <xdr:row>45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17651F-FE21-B94E-96AD-7DC2A0615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E210-9269-469A-8EBD-C1FC2CCBC6B0}">
  <dimension ref="A1:K523"/>
  <sheetViews>
    <sheetView showGridLines="0" zoomScale="116" zoomScaleNormal="75" workbookViewId="0">
      <selection activeCell="H19" sqref="H19"/>
    </sheetView>
  </sheetViews>
  <sheetFormatPr baseColWidth="10" defaultColWidth="19.1640625" defaultRowHeight="16" x14ac:dyDescent="0.2"/>
  <cols>
    <col min="1" max="1" width="19.1640625" style="1"/>
    <col min="2" max="3" width="19.1640625" style="3"/>
    <col min="4" max="4" width="28.1640625" style="4" customWidth="1"/>
    <col min="5" max="5" width="32.5" style="4" customWidth="1"/>
    <col min="6" max="6" width="19.1640625" style="2" customWidth="1"/>
    <col min="7" max="16384" width="19.1640625" style="2"/>
  </cols>
  <sheetData>
    <row r="1" spans="1:5" x14ac:dyDescent="0.2">
      <c r="A1" s="14"/>
      <c r="B1" s="15" t="s">
        <v>1</v>
      </c>
      <c r="C1" s="15" t="s">
        <v>2</v>
      </c>
      <c r="D1" s="16" t="s">
        <v>4</v>
      </c>
      <c r="E1" s="16" t="s">
        <v>5</v>
      </c>
    </row>
    <row r="2" spans="1:5" x14ac:dyDescent="0.2">
      <c r="A2" s="14">
        <v>45566</v>
      </c>
      <c r="B2" s="15">
        <v>3.6059999999999999</v>
      </c>
      <c r="C2" s="15">
        <v>3.7320000000000002</v>
      </c>
      <c r="D2" s="16"/>
      <c r="E2" s="16"/>
    </row>
    <row r="3" spans="1:5" x14ac:dyDescent="0.2">
      <c r="A3" s="14">
        <v>45567</v>
      </c>
      <c r="B3" s="15">
        <v>3.6429999999999998</v>
      </c>
      <c r="C3" s="15">
        <v>3.7829999999999999</v>
      </c>
      <c r="D3" s="16">
        <f t="shared" ref="D3:D67" si="0">100*(B3-B2)</f>
        <v>3.6999999999999922</v>
      </c>
      <c r="E3" s="16">
        <f>100*(C3-C2)</f>
        <v>5.0999999999999712</v>
      </c>
    </row>
    <row r="4" spans="1:5" x14ac:dyDescent="0.2">
      <c r="A4" s="14">
        <v>45568</v>
      </c>
      <c r="B4" s="15">
        <v>3.706</v>
      </c>
      <c r="C4" s="15">
        <v>3.847</v>
      </c>
      <c r="D4" s="16">
        <f t="shared" si="0"/>
        <v>6.3000000000000167</v>
      </c>
      <c r="E4" s="16">
        <f t="shared" ref="E4:E67" si="1">100*(C4-C3)</f>
        <v>6.4000000000000057</v>
      </c>
    </row>
    <row r="5" spans="1:5" x14ac:dyDescent="0.2">
      <c r="A5" s="14">
        <v>45569</v>
      </c>
      <c r="B5" s="15">
        <v>3.9239999999999999</v>
      </c>
      <c r="C5" s="15">
        <v>3.968</v>
      </c>
      <c r="D5" s="16">
        <f t="shared" si="0"/>
        <v>21.799999999999997</v>
      </c>
      <c r="E5" s="16">
        <f t="shared" si="1"/>
        <v>12.1</v>
      </c>
    </row>
    <row r="6" spans="1:5" x14ac:dyDescent="0.2">
      <c r="A6" s="14">
        <v>45572</v>
      </c>
      <c r="B6" s="15">
        <v>3.996</v>
      </c>
      <c r="C6" s="15">
        <v>4.0270000000000001</v>
      </c>
      <c r="D6" s="16">
        <f t="shared" si="0"/>
        <v>7.2000000000000064</v>
      </c>
      <c r="E6" s="16">
        <f t="shared" si="1"/>
        <v>5.9000000000000163</v>
      </c>
    </row>
    <row r="7" spans="1:5" x14ac:dyDescent="0.2">
      <c r="A7" s="14">
        <v>45573</v>
      </c>
      <c r="B7" s="15">
        <v>3.9590000000000001</v>
      </c>
      <c r="C7" s="15">
        <v>4.0129999999999999</v>
      </c>
      <c r="D7" s="16">
        <f t="shared" si="0"/>
        <v>-3.6999999999999922</v>
      </c>
      <c r="E7" s="16">
        <f t="shared" si="1"/>
        <v>-1.4000000000000234</v>
      </c>
    </row>
    <row r="8" spans="1:5" x14ac:dyDescent="0.2">
      <c r="A8" s="14">
        <v>45574</v>
      </c>
      <c r="B8" s="15">
        <v>4.024</v>
      </c>
      <c r="C8" s="15">
        <v>4.0739999999999998</v>
      </c>
      <c r="D8" s="16">
        <f t="shared" si="0"/>
        <v>6.4999999999999947</v>
      </c>
      <c r="E8" s="16">
        <f t="shared" si="1"/>
        <v>6.0999999999999943</v>
      </c>
    </row>
    <row r="9" spans="1:5" x14ac:dyDescent="0.2">
      <c r="A9" s="14">
        <v>45575</v>
      </c>
      <c r="B9" s="15">
        <v>3.9590000000000001</v>
      </c>
      <c r="C9" s="15">
        <v>4.0629999999999997</v>
      </c>
      <c r="D9" s="16">
        <f t="shared" si="0"/>
        <v>-6.4999999999999947</v>
      </c>
      <c r="E9" s="16">
        <f t="shared" si="1"/>
        <v>-1.1000000000000121</v>
      </c>
    </row>
    <row r="10" spans="1:5" x14ac:dyDescent="0.2">
      <c r="A10" s="14">
        <v>45576</v>
      </c>
      <c r="B10" s="15">
        <v>3.9569999999999999</v>
      </c>
      <c r="C10" s="15">
        <v>4.101</v>
      </c>
      <c r="D10" s="16">
        <f t="shared" si="0"/>
        <v>-0.20000000000002238</v>
      </c>
      <c r="E10" s="16">
        <f t="shared" si="1"/>
        <v>3.8000000000000256</v>
      </c>
    </row>
    <row r="11" spans="1:5" x14ac:dyDescent="0.2">
      <c r="A11" s="14">
        <v>45579</v>
      </c>
      <c r="B11" s="15">
        <v>3.9569999999999999</v>
      </c>
      <c r="C11" s="15">
        <v>4.101</v>
      </c>
      <c r="D11" s="16">
        <f t="shared" si="0"/>
        <v>0</v>
      </c>
      <c r="E11" s="16">
        <f t="shared" si="1"/>
        <v>0</v>
      </c>
    </row>
    <row r="12" spans="1:5" x14ac:dyDescent="0.2">
      <c r="A12" s="14">
        <v>45580</v>
      </c>
      <c r="B12" s="15">
        <v>3.948</v>
      </c>
      <c r="C12" s="15">
        <v>4.0339999999999998</v>
      </c>
      <c r="D12" s="16">
        <f t="shared" si="0"/>
        <v>-0.8999999999999897</v>
      </c>
      <c r="E12" s="16">
        <f t="shared" si="1"/>
        <v>-6.7000000000000171</v>
      </c>
    </row>
    <row r="13" spans="1:5" x14ac:dyDescent="0.2">
      <c r="A13" s="14">
        <v>45581</v>
      </c>
      <c r="B13" s="15">
        <v>3.94</v>
      </c>
      <c r="C13" s="15">
        <v>4.0140000000000002</v>
      </c>
      <c r="D13" s="16">
        <f t="shared" si="0"/>
        <v>-0.80000000000000071</v>
      </c>
      <c r="E13" s="16">
        <f t="shared" si="1"/>
        <v>-1.9999999999999574</v>
      </c>
    </row>
    <row r="14" spans="1:5" x14ac:dyDescent="0.2">
      <c r="A14" s="14">
        <v>45582</v>
      </c>
      <c r="B14" s="15">
        <v>3.9729999999999999</v>
      </c>
      <c r="C14" s="15">
        <v>4.0919999999999996</v>
      </c>
      <c r="D14" s="16">
        <f t="shared" si="0"/>
        <v>3.2999999999999918</v>
      </c>
      <c r="E14" s="16">
        <f t="shared" si="1"/>
        <v>7.7999999999999403</v>
      </c>
    </row>
    <row r="15" spans="1:5" x14ac:dyDescent="0.2">
      <c r="A15" s="14">
        <v>45583</v>
      </c>
      <c r="B15" s="15">
        <v>3.9489999999999998</v>
      </c>
      <c r="C15" s="15">
        <v>4.0839999999999996</v>
      </c>
      <c r="D15" s="16">
        <f t="shared" si="0"/>
        <v>-2.4000000000000021</v>
      </c>
      <c r="E15" s="16">
        <f t="shared" si="1"/>
        <v>-0.80000000000000071</v>
      </c>
    </row>
    <row r="16" spans="1:5" x14ac:dyDescent="0.2">
      <c r="A16" s="14">
        <v>45586</v>
      </c>
      <c r="B16" s="15">
        <v>4.0330000000000004</v>
      </c>
      <c r="C16" s="15">
        <v>4.1970000000000001</v>
      </c>
      <c r="D16" s="16">
        <f t="shared" si="0"/>
        <v>8.4000000000000519</v>
      </c>
      <c r="E16" s="16">
        <f t="shared" si="1"/>
        <v>11.300000000000043</v>
      </c>
    </row>
    <row r="17" spans="1:9" x14ac:dyDescent="0.2">
      <c r="A17" s="14">
        <v>45587</v>
      </c>
      <c r="B17" s="15">
        <v>4.0330000000000004</v>
      </c>
      <c r="C17" s="15">
        <v>4.2089999999999996</v>
      </c>
      <c r="D17" s="16">
        <f t="shared" si="0"/>
        <v>0</v>
      </c>
      <c r="E17" s="16">
        <f t="shared" si="1"/>
        <v>1.1999999999999567</v>
      </c>
      <c r="H17" s="17" t="s">
        <v>1</v>
      </c>
      <c r="I17" s="6"/>
    </row>
    <row r="18" spans="1:9" x14ac:dyDescent="0.2">
      <c r="A18" s="14">
        <v>45588</v>
      </c>
      <c r="B18" s="15">
        <v>4.08</v>
      </c>
      <c r="C18" s="15">
        <v>4.2469999999999999</v>
      </c>
      <c r="D18" s="16">
        <f t="shared" si="0"/>
        <v>4.6999999999999709</v>
      </c>
      <c r="E18" s="16">
        <f t="shared" si="1"/>
        <v>3.8000000000000256</v>
      </c>
      <c r="H18" s="7" t="str">
        <f>"-dP/dY = PV01"</f>
        <v>-dP/dY = PV01</v>
      </c>
      <c r="I18" s="12">
        <f>1.878</f>
        <v>1.8779999999999999</v>
      </c>
    </row>
    <row r="19" spans="1:9" ht="18" x14ac:dyDescent="0.2">
      <c r="A19" s="14">
        <v>45589</v>
      </c>
      <c r="B19" s="15">
        <v>4.0810000000000004</v>
      </c>
      <c r="C19" s="15">
        <v>4.2130000000000001</v>
      </c>
      <c r="D19" s="16">
        <f t="shared" si="0"/>
        <v>0.1000000000000334</v>
      </c>
      <c r="E19" s="16">
        <f t="shared" si="1"/>
        <v>-3.3999999999999808</v>
      </c>
      <c r="H19" s="9" t="s">
        <v>3</v>
      </c>
      <c r="I19" s="13">
        <f>(0.045*99.7513)/100</f>
        <v>4.4888085000000001E-2</v>
      </c>
    </row>
    <row r="20" spans="1:9" x14ac:dyDescent="0.2">
      <c r="A20" s="14">
        <v>45590</v>
      </c>
      <c r="B20" s="15">
        <v>4.1070000000000002</v>
      </c>
      <c r="C20" s="15">
        <v>4.2409999999999997</v>
      </c>
      <c r="D20" s="16">
        <f t="shared" si="0"/>
        <v>2.5999999999999801</v>
      </c>
      <c r="E20" s="16">
        <f t="shared" si="1"/>
        <v>2.7999999999999581</v>
      </c>
    </row>
    <row r="21" spans="1:9" x14ac:dyDescent="0.2">
      <c r="A21" s="14">
        <v>45593</v>
      </c>
      <c r="B21" s="15">
        <v>4.141</v>
      </c>
      <c r="C21" s="15">
        <v>4.2830000000000004</v>
      </c>
      <c r="D21" s="16">
        <f t="shared" si="0"/>
        <v>3.3999999999999808</v>
      </c>
      <c r="E21" s="16">
        <f t="shared" si="1"/>
        <v>4.2000000000000703</v>
      </c>
    </row>
    <row r="22" spans="1:9" x14ac:dyDescent="0.2">
      <c r="A22" s="14">
        <v>45594</v>
      </c>
      <c r="B22" s="15">
        <v>4.0979999999999999</v>
      </c>
      <c r="C22" s="15">
        <v>4.2549999999999999</v>
      </c>
      <c r="D22" s="16">
        <f t="shared" si="0"/>
        <v>-4.3000000000000149</v>
      </c>
      <c r="E22" s="16">
        <f t="shared" si="1"/>
        <v>-2.8000000000000469</v>
      </c>
    </row>
    <row r="23" spans="1:9" x14ac:dyDescent="0.2">
      <c r="A23" s="14">
        <v>45595</v>
      </c>
      <c r="B23" s="15">
        <v>4.1840000000000002</v>
      </c>
      <c r="C23" s="15">
        <v>4.3010000000000002</v>
      </c>
      <c r="D23" s="16">
        <f t="shared" si="0"/>
        <v>8.6000000000000298</v>
      </c>
      <c r="E23" s="16">
        <f t="shared" si="1"/>
        <v>4.6000000000000263</v>
      </c>
    </row>
    <row r="24" spans="1:9" x14ac:dyDescent="0.2">
      <c r="A24" s="14">
        <v>45596</v>
      </c>
      <c r="B24" s="15">
        <v>4.1719999999999997</v>
      </c>
      <c r="C24" s="15">
        <v>4.2850000000000001</v>
      </c>
      <c r="D24" s="16">
        <f t="shared" si="0"/>
        <v>-1.2000000000000455</v>
      </c>
      <c r="E24" s="16">
        <f t="shared" si="1"/>
        <v>-1.6000000000000014</v>
      </c>
    </row>
    <row r="25" spans="1:9" x14ac:dyDescent="0.2">
      <c r="A25" s="14">
        <v>45597</v>
      </c>
      <c r="B25" s="15">
        <v>4.2089999999999996</v>
      </c>
      <c r="C25" s="15">
        <v>4.3849999999999998</v>
      </c>
      <c r="D25" s="16">
        <f t="shared" si="0"/>
        <v>3.6999999999999922</v>
      </c>
      <c r="E25" s="16">
        <f t="shared" si="1"/>
        <v>9.9999999999999645</v>
      </c>
    </row>
    <row r="26" spans="1:9" x14ac:dyDescent="0.2">
      <c r="A26" s="14">
        <v>45600</v>
      </c>
      <c r="B26" s="15">
        <v>4.1619999999999999</v>
      </c>
      <c r="C26" s="15">
        <v>4.2859999999999996</v>
      </c>
      <c r="D26" s="16">
        <f t="shared" si="0"/>
        <v>-4.6999999999999709</v>
      </c>
      <c r="E26" s="16">
        <f t="shared" si="1"/>
        <v>-9.9000000000000199</v>
      </c>
    </row>
    <row r="27" spans="1:9" x14ac:dyDescent="0.2">
      <c r="A27" s="14">
        <v>45601</v>
      </c>
      <c r="B27" s="15">
        <v>4.18</v>
      </c>
      <c r="C27" s="15">
        <v>4.2729999999999997</v>
      </c>
      <c r="D27" s="16">
        <f t="shared" si="0"/>
        <v>1.7999999999999794</v>
      </c>
      <c r="E27" s="16">
        <f t="shared" si="1"/>
        <v>-1.2999999999999901</v>
      </c>
    </row>
    <row r="28" spans="1:9" x14ac:dyDescent="0.2">
      <c r="A28" s="14">
        <v>45602</v>
      </c>
      <c r="B28" s="15">
        <v>4.2640000000000002</v>
      </c>
      <c r="C28" s="15">
        <v>4.4329999999999998</v>
      </c>
      <c r="D28" s="16">
        <f t="shared" si="0"/>
        <v>8.4000000000000519</v>
      </c>
      <c r="E28" s="16">
        <f t="shared" si="1"/>
        <v>16.000000000000014</v>
      </c>
    </row>
    <row r="29" spans="1:9" x14ac:dyDescent="0.2">
      <c r="A29" s="14">
        <v>45603</v>
      </c>
      <c r="B29" s="15">
        <v>4.2</v>
      </c>
      <c r="C29" s="15">
        <v>4.3280000000000003</v>
      </c>
      <c r="D29" s="16">
        <f t="shared" si="0"/>
        <v>-6.4000000000000057</v>
      </c>
      <c r="E29" s="16">
        <f t="shared" si="1"/>
        <v>-10.499999999999954</v>
      </c>
    </row>
    <row r="30" spans="1:9" x14ac:dyDescent="0.2">
      <c r="A30" s="14">
        <v>45604</v>
      </c>
      <c r="B30" s="15">
        <v>4.2549999999999999</v>
      </c>
      <c r="C30" s="15">
        <v>4.3049999999999997</v>
      </c>
      <c r="D30" s="16">
        <f t="shared" si="0"/>
        <v>5.4999999999999716</v>
      </c>
      <c r="E30" s="16">
        <f t="shared" si="1"/>
        <v>-2.3000000000000576</v>
      </c>
    </row>
    <row r="31" spans="1:9" x14ac:dyDescent="0.2">
      <c r="A31" s="14">
        <v>45607</v>
      </c>
      <c r="B31" s="15">
        <v>4.2549999999999999</v>
      </c>
      <c r="C31" s="15">
        <v>4.3049999999999997</v>
      </c>
      <c r="D31" s="16">
        <f t="shared" si="0"/>
        <v>0</v>
      </c>
      <c r="E31" s="16">
        <f t="shared" si="1"/>
        <v>0</v>
      </c>
    </row>
    <row r="32" spans="1:9" x14ac:dyDescent="0.2">
      <c r="A32" s="14">
        <v>45608</v>
      </c>
      <c r="B32" s="15">
        <v>4.3419999999999996</v>
      </c>
      <c r="C32" s="15">
        <v>4.4290000000000003</v>
      </c>
      <c r="D32" s="16">
        <f t="shared" si="0"/>
        <v>8.6999999999999744</v>
      </c>
      <c r="E32" s="16">
        <f t="shared" si="1"/>
        <v>12.400000000000055</v>
      </c>
    </row>
    <row r="33" spans="1:10" x14ac:dyDescent="0.2">
      <c r="A33" s="14">
        <v>45609</v>
      </c>
      <c r="B33" s="15">
        <v>4.2880000000000003</v>
      </c>
      <c r="C33" s="15">
        <v>4.452</v>
      </c>
      <c r="D33" s="16">
        <f t="shared" si="0"/>
        <v>-5.3999999999999382</v>
      </c>
      <c r="E33" s="16">
        <f t="shared" si="1"/>
        <v>2.2999999999999687</v>
      </c>
    </row>
    <row r="34" spans="1:10" x14ac:dyDescent="0.2">
      <c r="A34" s="14">
        <v>45610</v>
      </c>
      <c r="B34" s="15">
        <v>4.3470000000000004</v>
      </c>
      <c r="C34" s="15">
        <v>4.4370000000000003</v>
      </c>
      <c r="D34" s="16">
        <f t="shared" si="0"/>
        <v>5.9000000000000163</v>
      </c>
      <c r="E34" s="16">
        <f t="shared" si="1"/>
        <v>-1.499999999999968</v>
      </c>
    </row>
    <row r="35" spans="1:10" x14ac:dyDescent="0.2">
      <c r="A35" s="14">
        <v>45611</v>
      </c>
      <c r="B35" s="15">
        <v>4.3049999999999997</v>
      </c>
      <c r="C35" s="15">
        <v>4.4400000000000004</v>
      </c>
      <c r="D35" s="16">
        <f t="shared" si="0"/>
        <v>-4.2000000000000703</v>
      </c>
      <c r="E35" s="16">
        <f t="shared" si="1"/>
        <v>0.30000000000001137</v>
      </c>
    </row>
    <row r="36" spans="1:10" x14ac:dyDescent="0.2">
      <c r="A36" s="14">
        <v>45614</v>
      </c>
      <c r="B36" s="15">
        <v>4.2809999999999997</v>
      </c>
      <c r="C36" s="15">
        <v>4.415</v>
      </c>
      <c r="D36" s="16">
        <f t="shared" si="0"/>
        <v>-2.4000000000000021</v>
      </c>
      <c r="E36" s="16">
        <f t="shared" si="1"/>
        <v>-2.5000000000000355</v>
      </c>
    </row>
    <row r="37" spans="1:10" x14ac:dyDescent="0.2">
      <c r="A37" s="14">
        <v>45615</v>
      </c>
      <c r="B37" s="15">
        <v>4.282</v>
      </c>
      <c r="C37" s="15">
        <v>4.3970000000000002</v>
      </c>
      <c r="D37" s="16">
        <f t="shared" si="0"/>
        <v>0.1000000000000334</v>
      </c>
      <c r="E37" s="16">
        <f t="shared" si="1"/>
        <v>-1.7999999999999794</v>
      </c>
    </row>
    <row r="38" spans="1:10" x14ac:dyDescent="0.2">
      <c r="A38" s="14">
        <v>45616</v>
      </c>
      <c r="B38" s="15">
        <v>4.3170000000000002</v>
      </c>
      <c r="C38" s="15">
        <v>4.4119999999999999</v>
      </c>
      <c r="D38" s="16">
        <f t="shared" si="0"/>
        <v>3.5000000000000142</v>
      </c>
      <c r="E38" s="16">
        <f t="shared" si="1"/>
        <v>1.499999999999968</v>
      </c>
    </row>
    <row r="39" spans="1:10" x14ac:dyDescent="0.2">
      <c r="A39" s="14">
        <v>45617</v>
      </c>
      <c r="B39" s="15">
        <v>4.3499999999999996</v>
      </c>
      <c r="C39" s="15">
        <v>4.423</v>
      </c>
      <c r="D39" s="16">
        <f t="shared" si="0"/>
        <v>3.2999999999999474</v>
      </c>
      <c r="E39" s="16">
        <f t="shared" si="1"/>
        <v>1.1000000000000121</v>
      </c>
    </row>
    <row r="40" spans="1:10" x14ac:dyDescent="0.2">
      <c r="A40" s="14">
        <v>45618</v>
      </c>
      <c r="B40" s="15">
        <v>4.3760000000000003</v>
      </c>
      <c r="C40" s="15">
        <v>4.4009999999999998</v>
      </c>
      <c r="D40" s="16">
        <f t="shared" si="0"/>
        <v>2.6000000000000689</v>
      </c>
      <c r="E40" s="16">
        <f t="shared" si="1"/>
        <v>-2.2000000000000242</v>
      </c>
    </row>
    <row r="41" spans="1:10" x14ac:dyDescent="0.2">
      <c r="A41" s="14">
        <v>45621</v>
      </c>
      <c r="B41" s="15">
        <v>4.2720000000000002</v>
      </c>
      <c r="C41" s="15">
        <v>4.2750000000000004</v>
      </c>
      <c r="D41" s="16">
        <f t="shared" si="0"/>
        <v>-10.400000000000009</v>
      </c>
      <c r="E41" s="16">
        <f t="shared" si="1"/>
        <v>-12.599999999999945</v>
      </c>
      <c r="I41" s="18" t="s">
        <v>2</v>
      </c>
      <c r="J41" s="6"/>
    </row>
    <row r="42" spans="1:10" x14ac:dyDescent="0.2">
      <c r="A42" s="14">
        <v>45622</v>
      </c>
      <c r="B42" s="15">
        <v>4.2569999999999997</v>
      </c>
      <c r="C42" s="15">
        <v>4.3070000000000004</v>
      </c>
      <c r="D42" s="16">
        <f t="shared" si="0"/>
        <v>-1.5000000000000568</v>
      </c>
      <c r="E42" s="16">
        <f t="shared" si="1"/>
        <v>3.2000000000000028</v>
      </c>
      <c r="I42" s="7" t="str">
        <f>"-dP/dY = PV01"</f>
        <v>-dP/dY = PV01</v>
      </c>
      <c r="J42" s="12">
        <v>7.3819999999999997</v>
      </c>
    </row>
    <row r="43" spans="1:10" ht="18" x14ac:dyDescent="0.2">
      <c r="A43" s="14">
        <v>45623</v>
      </c>
      <c r="B43" s="15">
        <v>4.2290000000000001</v>
      </c>
      <c r="C43" s="15">
        <v>4.2640000000000002</v>
      </c>
      <c r="D43" s="16">
        <f t="shared" si="0"/>
        <v>-2.7999999999999581</v>
      </c>
      <c r="E43" s="16">
        <f t="shared" si="1"/>
        <v>-4.3000000000000149</v>
      </c>
      <c r="I43" s="9" t="s">
        <v>3</v>
      </c>
      <c r="J43" s="13">
        <f>0.723*95.5438/100</f>
        <v>0.69078167400000001</v>
      </c>
    </row>
    <row r="44" spans="1:10" x14ac:dyDescent="0.2">
      <c r="A44" s="14">
        <v>45624</v>
      </c>
      <c r="B44" s="15">
        <v>4.2290000000000001</v>
      </c>
      <c r="C44" s="15">
        <v>4.2640000000000002</v>
      </c>
      <c r="D44" s="16">
        <f t="shared" si="0"/>
        <v>0</v>
      </c>
      <c r="E44" s="16">
        <f t="shared" si="1"/>
        <v>0</v>
      </c>
    </row>
    <row r="45" spans="1:10" x14ac:dyDescent="0.2">
      <c r="A45" s="14">
        <v>45625</v>
      </c>
      <c r="B45" s="15">
        <v>4.1529999999999996</v>
      </c>
      <c r="C45" s="15">
        <v>4.17</v>
      </c>
      <c r="D45" s="16">
        <f t="shared" si="0"/>
        <v>-7.6000000000000512</v>
      </c>
      <c r="E45" s="16">
        <f t="shared" si="1"/>
        <v>-9.4000000000000306</v>
      </c>
    </row>
    <row r="46" spans="1:10" x14ac:dyDescent="0.2">
      <c r="A46" s="14">
        <v>45628</v>
      </c>
      <c r="B46" s="15">
        <v>4.1820000000000004</v>
      </c>
      <c r="C46" s="15">
        <v>4.1920000000000002</v>
      </c>
      <c r="D46" s="16">
        <f t="shared" si="0"/>
        <v>2.9000000000000803</v>
      </c>
      <c r="E46" s="16">
        <f t="shared" si="1"/>
        <v>2.2000000000000242</v>
      </c>
    </row>
    <row r="47" spans="1:10" x14ac:dyDescent="0.2">
      <c r="A47" s="14">
        <v>45629</v>
      </c>
      <c r="B47" s="15">
        <v>4.181</v>
      </c>
      <c r="C47" s="15">
        <v>4.2249999999999996</v>
      </c>
      <c r="D47" s="16">
        <f t="shared" si="0"/>
        <v>-0.1000000000000334</v>
      </c>
      <c r="E47" s="16">
        <f t="shared" si="1"/>
        <v>3.2999999999999474</v>
      </c>
    </row>
    <row r="48" spans="1:10" x14ac:dyDescent="0.2">
      <c r="A48" s="14">
        <v>45630</v>
      </c>
      <c r="B48" s="15">
        <v>4.1280000000000001</v>
      </c>
      <c r="C48" s="15">
        <v>4.181</v>
      </c>
      <c r="D48" s="16">
        <f t="shared" si="0"/>
        <v>-5.2999999999999936</v>
      </c>
      <c r="E48" s="16">
        <f t="shared" si="1"/>
        <v>-4.3999999999999595</v>
      </c>
    </row>
    <row r="49" spans="1:11" x14ac:dyDescent="0.2">
      <c r="A49" s="14">
        <v>45631</v>
      </c>
      <c r="B49" s="15">
        <v>4.1449999999999996</v>
      </c>
      <c r="C49" s="15">
        <v>4.1769999999999996</v>
      </c>
      <c r="D49" s="16">
        <f t="shared" si="0"/>
        <v>1.699999999999946</v>
      </c>
      <c r="E49" s="16">
        <f t="shared" si="1"/>
        <v>-0.40000000000004476</v>
      </c>
      <c r="F49" s="5"/>
      <c r="G49" s="5"/>
      <c r="H49" s="5"/>
      <c r="I49" s="5"/>
      <c r="J49" s="5"/>
      <c r="K49" s="6"/>
    </row>
    <row r="50" spans="1:11" x14ac:dyDescent="0.2">
      <c r="A50" s="14">
        <v>45632</v>
      </c>
      <c r="B50" s="15">
        <v>4.1050000000000004</v>
      </c>
      <c r="C50" s="15">
        <v>4.1539999999999999</v>
      </c>
      <c r="D50" s="16">
        <f t="shared" si="0"/>
        <v>-3.9999999999999147</v>
      </c>
      <c r="E50" s="16">
        <f t="shared" si="1"/>
        <v>-2.2999999999999687</v>
      </c>
      <c r="K50" s="8"/>
    </row>
    <row r="51" spans="1:11" x14ac:dyDescent="0.2">
      <c r="A51" s="14">
        <v>45635</v>
      </c>
      <c r="B51" s="15">
        <v>4.1260000000000003</v>
      </c>
      <c r="C51" s="15">
        <v>4.202</v>
      </c>
      <c r="D51" s="16">
        <f t="shared" si="0"/>
        <v>2.0999999999999908</v>
      </c>
      <c r="E51" s="16">
        <f t="shared" si="1"/>
        <v>4.8000000000000043</v>
      </c>
      <c r="F51" s="2" t="s">
        <v>0</v>
      </c>
      <c r="G51" s="2" t="s">
        <v>0</v>
      </c>
      <c r="K51" s="8"/>
    </row>
    <row r="52" spans="1:11" x14ac:dyDescent="0.2">
      <c r="A52" s="14">
        <v>45636</v>
      </c>
      <c r="B52" s="15">
        <v>4.1449999999999996</v>
      </c>
      <c r="C52" s="15">
        <v>4.2270000000000003</v>
      </c>
      <c r="D52" s="16">
        <f t="shared" si="0"/>
        <v>1.899999999999924</v>
      </c>
      <c r="E52" s="16">
        <f t="shared" si="1"/>
        <v>2.5000000000000355</v>
      </c>
      <c r="G52" s="2" t="s">
        <v>0</v>
      </c>
      <c r="K52" s="8"/>
    </row>
    <row r="53" spans="1:11" x14ac:dyDescent="0.2">
      <c r="A53" s="14">
        <v>45637</v>
      </c>
      <c r="B53" s="15">
        <v>4.1539999999999999</v>
      </c>
      <c r="C53" s="15">
        <v>4.2720000000000002</v>
      </c>
      <c r="D53" s="16">
        <f t="shared" si="0"/>
        <v>0.90000000000003411</v>
      </c>
      <c r="E53" s="16">
        <f t="shared" si="1"/>
        <v>4.4999999999999929</v>
      </c>
      <c r="F53" s="2" t="s">
        <v>0</v>
      </c>
      <c r="G53" s="2" t="s">
        <v>0</v>
      </c>
      <c r="K53" s="8"/>
    </row>
    <row r="54" spans="1:11" x14ac:dyDescent="0.2">
      <c r="A54" s="14">
        <v>45638</v>
      </c>
      <c r="B54" s="15">
        <v>4.1929999999999996</v>
      </c>
      <c r="C54" s="15">
        <v>4.3289999999999997</v>
      </c>
      <c r="D54" s="16">
        <f t="shared" si="0"/>
        <v>3.8999999999999702</v>
      </c>
      <c r="E54" s="16">
        <f t="shared" si="1"/>
        <v>5.6999999999999496</v>
      </c>
      <c r="F54" s="2" t="s">
        <v>0</v>
      </c>
      <c r="K54" s="8"/>
    </row>
    <row r="55" spans="1:11" x14ac:dyDescent="0.2">
      <c r="A55" s="14">
        <v>45639</v>
      </c>
      <c r="B55" s="15">
        <v>4.2469999999999999</v>
      </c>
      <c r="C55" s="15">
        <v>4.3979999999999997</v>
      </c>
      <c r="D55" s="16">
        <f t="shared" si="0"/>
        <v>5.400000000000027</v>
      </c>
      <c r="E55" s="16">
        <f t="shared" si="1"/>
        <v>6.899999999999995</v>
      </c>
      <c r="F55" s="2" t="s">
        <v>0</v>
      </c>
      <c r="K55" s="8"/>
    </row>
    <row r="56" spans="1:11" x14ac:dyDescent="0.2">
      <c r="A56" s="14">
        <v>45642</v>
      </c>
      <c r="B56" s="15">
        <v>4.2510000000000003</v>
      </c>
      <c r="C56" s="15">
        <v>4.399</v>
      </c>
      <c r="D56" s="16">
        <f t="shared" si="0"/>
        <v>0.40000000000004476</v>
      </c>
      <c r="E56" s="16">
        <f t="shared" si="1"/>
        <v>0.1000000000000334</v>
      </c>
      <c r="K56" s="8"/>
    </row>
    <row r="57" spans="1:11" x14ac:dyDescent="0.2">
      <c r="A57" s="14">
        <v>45643</v>
      </c>
      <c r="B57" s="15">
        <v>4.2469999999999999</v>
      </c>
      <c r="C57" s="15">
        <v>4.4000000000000004</v>
      </c>
      <c r="D57" s="16">
        <f t="shared" si="0"/>
        <v>-0.40000000000004476</v>
      </c>
      <c r="E57" s="16">
        <f t="shared" si="1"/>
        <v>0.1000000000000334</v>
      </c>
      <c r="K57" s="8"/>
    </row>
    <row r="58" spans="1:11" x14ac:dyDescent="0.2">
      <c r="A58" s="14">
        <v>45644</v>
      </c>
      <c r="B58" s="15">
        <v>4.3579999999999997</v>
      </c>
      <c r="C58" s="15">
        <v>4.516</v>
      </c>
      <c r="D58" s="16">
        <f t="shared" si="0"/>
        <v>11.099999999999977</v>
      </c>
      <c r="E58" s="16">
        <f t="shared" si="1"/>
        <v>11.599999999999966</v>
      </c>
      <c r="K58" s="8"/>
    </row>
    <row r="59" spans="1:11" x14ac:dyDescent="0.2">
      <c r="A59" s="14">
        <v>45645</v>
      </c>
      <c r="B59" s="15">
        <v>4.319</v>
      </c>
      <c r="C59" s="15">
        <v>4.5640000000000001</v>
      </c>
      <c r="D59" s="16">
        <f t="shared" si="0"/>
        <v>-3.8999999999999702</v>
      </c>
      <c r="E59" s="16">
        <f t="shared" si="1"/>
        <v>4.8000000000000043</v>
      </c>
      <c r="F59" s="10"/>
      <c r="G59" s="10"/>
      <c r="H59" s="10"/>
      <c r="I59" s="10"/>
      <c r="J59" s="10"/>
      <c r="K59" s="11"/>
    </row>
    <row r="60" spans="1:11" x14ac:dyDescent="0.2">
      <c r="A60" s="14">
        <v>45646</v>
      </c>
      <c r="B60" s="15">
        <v>4.3120000000000003</v>
      </c>
      <c r="C60" s="15">
        <v>4.5229999999999997</v>
      </c>
      <c r="D60" s="16">
        <f t="shared" si="0"/>
        <v>-0.69999999999996732</v>
      </c>
      <c r="E60" s="16">
        <f t="shared" si="1"/>
        <v>-4.1000000000000369</v>
      </c>
    </row>
    <row r="61" spans="1:11" x14ac:dyDescent="0.2">
      <c r="A61" s="14">
        <v>45649</v>
      </c>
      <c r="B61" s="15">
        <v>4.3419999999999996</v>
      </c>
      <c r="C61" s="15">
        <v>4.5880000000000001</v>
      </c>
      <c r="D61" s="16">
        <f t="shared" si="0"/>
        <v>2.9999999999999361</v>
      </c>
      <c r="E61" s="16">
        <f t="shared" si="1"/>
        <v>6.5000000000000391</v>
      </c>
    </row>
    <row r="62" spans="1:11" x14ac:dyDescent="0.2">
      <c r="A62" s="14">
        <v>45650</v>
      </c>
      <c r="B62" s="15">
        <v>4.335</v>
      </c>
      <c r="C62" s="15">
        <v>4.59</v>
      </c>
      <c r="D62" s="16">
        <f t="shared" si="0"/>
        <v>-0.69999999999996732</v>
      </c>
      <c r="E62" s="16">
        <f t="shared" si="1"/>
        <v>0.19999999999997797</v>
      </c>
    </row>
    <row r="63" spans="1:11" x14ac:dyDescent="0.2">
      <c r="A63" s="14">
        <v>45651</v>
      </c>
      <c r="B63" s="15">
        <v>4.335</v>
      </c>
      <c r="C63" s="15">
        <v>4.59</v>
      </c>
      <c r="D63" s="16">
        <f t="shared" si="0"/>
        <v>0</v>
      </c>
      <c r="E63" s="16">
        <f t="shared" si="1"/>
        <v>0</v>
      </c>
    </row>
    <row r="64" spans="1:11" x14ac:dyDescent="0.2">
      <c r="A64" s="14">
        <v>45652</v>
      </c>
      <c r="B64" s="15">
        <v>4.33</v>
      </c>
      <c r="C64" s="15">
        <v>4.5839999999999996</v>
      </c>
      <c r="D64" s="16">
        <f t="shared" si="0"/>
        <v>-0.49999999999998934</v>
      </c>
      <c r="E64" s="16">
        <f t="shared" si="1"/>
        <v>-0.60000000000002274</v>
      </c>
    </row>
    <row r="65" spans="1:5" x14ac:dyDescent="0.2">
      <c r="A65" s="14">
        <v>45653</v>
      </c>
      <c r="B65" s="15">
        <v>4.3289999999999997</v>
      </c>
      <c r="C65" s="15">
        <v>4.6260000000000003</v>
      </c>
      <c r="D65" s="16">
        <f t="shared" si="0"/>
        <v>-0.1000000000000334</v>
      </c>
      <c r="E65" s="16">
        <f t="shared" si="1"/>
        <v>4.2000000000000703</v>
      </c>
    </row>
    <row r="66" spans="1:5" x14ac:dyDescent="0.2">
      <c r="A66" s="14">
        <v>45656</v>
      </c>
      <c r="B66" s="15">
        <v>4.2439999999999998</v>
      </c>
      <c r="C66" s="15">
        <v>4.5339999999999998</v>
      </c>
      <c r="D66" s="16">
        <f t="shared" si="0"/>
        <v>-8.4999999999999964</v>
      </c>
      <c r="E66" s="16">
        <f t="shared" si="1"/>
        <v>-9.2000000000000526</v>
      </c>
    </row>
    <row r="67" spans="1:5" x14ac:dyDescent="0.2">
      <c r="A67" s="14">
        <v>45657</v>
      </c>
      <c r="B67" s="15">
        <v>4.2430000000000003</v>
      </c>
      <c r="C67" s="15">
        <v>4.5720000000000001</v>
      </c>
      <c r="D67" s="16">
        <f t="shared" si="0"/>
        <v>-9.9999999999944578E-2</v>
      </c>
      <c r="E67" s="16">
        <f t="shared" si="1"/>
        <v>3.8000000000000256</v>
      </c>
    </row>
    <row r="68" spans="1:5" x14ac:dyDescent="0.2">
      <c r="A68" s="14">
        <v>45658</v>
      </c>
      <c r="B68" s="15">
        <v>4.2430000000000003</v>
      </c>
      <c r="C68" s="15">
        <v>4.5720000000000001</v>
      </c>
      <c r="D68" s="16">
        <f t="shared" ref="D68:D131" si="2">100*(B68-B67)</f>
        <v>0</v>
      </c>
      <c r="E68" s="16">
        <f t="shared" ref="E68:E131" si="3">100*(C68-C67)</f>
        <v>0</v>
      </c>
    </row>
    <row r="69" spans="1:5" x14ac:dyDescent="0.2">
      <c r="A69" s="14">
        <v>45659</v>
      </c>
      <c r="B69" s="15">
        <v>4.242</v>
      </c>
      <c r="C69" s="15">
        <v>4.5599999999999996</v>
      </c>
      <c r="D69" s="16">
        <f t="shared" si="2"/>
        <v>-0.1000000000000334</v>
      </c>
      <c r="E69" s="16">
        <f t="shared" si="3"/>
        <v>-1.2000000000000455</v>
      </c>
    </row>
    <row r="70" spans="1:5" x14ac:dyDescent="0.2">
      <c r="A70" s="14">
        <v>45660</v>
      </c>
      <c r="B70" s="15">
        <v>4.2809999999999997</v>
      </c>
      <c r="C70" s="15">
        <v>4.5990000000000002</v>
      </c>
      <c r="D70" s="16">
        <f t="shared" si="2"/>
        <v>3.8999999999999702</v>
      </c>
      <c r="E70" s="16">
        <f t="shared" si="3"/>
        <v>3.900000000000059</v>
      </c>
    </row>
    <row r="71" spans="1:5" x14ac:dyDescent="0.2">
      <c r="A71" s="14">
        <v>45663</v>
      </c>
      <c r="B71" s="15">
        <v>4.2770000000000001</v>
      </c>
      <c r="C71" s="15">
        <v>4.6310000000000002</v>
      </c>
      <c r="D71" s="16">
        <f t="shared" si="2"/>
        <v>-0.39999999999995595</v>
      </c>
      <c r="E71" s="16">
        <f t="shared" si="3"/>
        <v>3.2000000000000028</v>
      </c>
    </row>
    <row r="72" spans="1:5" x14ac:dyDescent="0.2">
      <c r="A72" s="14">
        <v>45664</v>
      </c>
      <c r="B72" s="15">
        <v>4.2930000000000001</v>
      </c>
      <c r="C72" s="15">
        <v>4.6859999999999999</v>
      </c>
      <c r="D72" s="16">
        <f t="shared" si="2"/>
        <v>1.6000000000000014</v>
      </c>
      <c r="E72" s="16">
        <f t="shared" si="3"/>
        <v>5.4999999999999716</v>
      </c>
    </row>
    <row r="73" spans="1:5" x14ac:dyDescent="0.2">
      <c r="A73" s="14">
        <v>45665</v>
      </c>
      <c r="B73" s="15">
        <v>4.2850000000000001</v>
      </c>
      <c r="C73" s="15">
        <v>4.6909999999999998</v>
      </c>
      <c r="D73" s="16">
        <f t="shared" si="2"/>
        <v>-0.80000000000000071</v>
      </c>
      <c r="E73" s="16">
        <f t="shared" si="3"/>
        <v>0.49999999999998934</v>
      </c>
    </row>
    <row r="74" spans="1:5" x14ac:dyDescent="0.2">
      <c r="A74" s="14">
        <v>45666</v>
      </c>
      <c r="B74" s="15">
        <v>4.2649999999999997</v>
      </c>
      <c r="C74" s="15">
        <v>4.6900000000000004</v>
      </c>
      <c r="D74" s="16">
        <f t="shared" si="2"/>
        <v>-2.0000000000000462</v>
      </c>
      <c r="E74" s="16">
        <f t="shared" si="3"/>
        <v>-9.9999999999944578E-2</v>
      </c>
    </row>
    <row r="75" spans="1:5" x14ac:dyDescent="0.2">
      <c r="A75" s="14">
        <v>45667</v>
      </c>
      <c r="B75" s="15">
        <v>4.3810000000000002</v>
      </c>
      <c r="C75" s="15">
        <v>4.76</v>
      </c>
      <c r="D75" s="16">
        <f t="shared" si="2"/>
        <v>11.600000000000055</v>
      </c>
      <c r="E75" s="16">
        <f t="shared" si="3"/>
        <v>6.9999999999999396</v>
      </c>
    </row>
    <row r="76" spans="1:5" x14ac:dyDescent="0.2">
      <c r="A76" s="14">
        <v>45670</v>
      </c>
      <c r="B76" s="15">
        <v>4.3810000000000002</v>
      </c>
      <c r="C76" s="15">
        <v>4.78</v>
      </c>
      <c r="D76" s="16">
        <f t="shared" si="2"/>
        <v>0</v>
      </c>
      <c r="E76" s="16">
        <f t="shared" si="3"/>
        <v>2.0000000000000462</v>
      </c>
    </row>
    <row r="77" spans="1:5" x14ac:dyDescent="0.2">
      <c r="A77" s="14">
        <v>45671</v>
      </c>
      <c r="B77" s="15">
        <v>4.3680000000000003</v>
      </c>
      <c r="C77" s="15">
        <v>4.7930000000000001</v>
      </c>
      <c r="D77" s="16">
        <f t="shared" si="2"/>
        <v>-1.2999999999999901</v>
      </c>
      <c r="E77" s="16">
        <f t="shared" si="3"/>
        <v>1.2999999999999901</v>
      </c>
    </row>
    <row r="78" spans="1:5" x14ac:dyDescent="0.2">
      <c r="A78" s="14">
        <v>45672</v>
      </c>
      <c r="B78" s="15">
        <v>4.266</v>
      </c>
      <c r="C78" s="15">
        <v>4.6539999999999999</v>
      </c>
      <c r="D78" s="16">
        <f t="shared" si="2"/>
        <v>-10.200000000000031</v>
      </c>
      <c r="E78" s="16">
        <f t="shared" si="3"/>
        <v>-13.900000000000023</v>
      </c>
    </row>
    <row r="79" spans="1:5" x14ac:dyDescent="0.2">
      <c r="A79" s="14">
        <v>45673</v>
      </c>
      <c r="B79" s="15">
        <v>4.2309999999999999</v>
      </c>
      <c r="C79" s="15">
        <v>4.6139999999999999</v>
      </c>
      <c r="D79" s="16">
        <f t="shared" si="2"/>
        <v>-3.5000000000000142</v>
      </c>
      <c r="E79" s="16">
        <f t="shared" si="3"/>
        <v>-4.0000000000000036</v>
      </c>
    </row>
    <row r="80" spans="1:5" x14ac:dyDescent="0.2">
      <c r="A80" s="14">
        <v>45674</v>
      </c>
      <c r="B80" s="15">
        <v>4.2850000000000001</v>
      </c>
      <c r="C80" s="15">
        <v>4.6280000000000001</v>
      </c>
      <c r="D80" s="16">
        <f t="shared" si="2"/>
        <v>5.400000000000027</v>
      </c>
      <c r="E80" s="16">
        <f t="shared" si="3"/>
        <v>1.4000000000000234</v>
      </c>
    </row>
    <row r="81" spans="1:5" x14ac:dyDescent="0.2">
      <c r="A81" s="14">
        <v>45677</v>
      </c>
      <c r="B81" s="15">
        <v>4.2850000000000001</v>
      </c>
      <c r="C81" s="15">
        <v>4.6280000000000001</v>
      </c>
      <c r="D81" s="16">
        <f t="shared" si="2"/>
        <v>0</v>
      </c>
      <c r="E81" s="16">
        <f t="shared" si="3"/>
        <v>0</v>
      </c>
    </row>
    <row r="82" spans="1:5" x14ac:dyDescent="0.2">
      <c r="A82" s="14">
        <v>45678</v>
      </c>
      <c r="B82" s="15">
        <v>4.2750000000000004</v>
      </c>
      <c r="C82" s="15">
        <v>4.577</v>
      </c>
      <c r="D82" s="16">
        <f t="shared" si="2"/>
        <v>-0.99999999999997868</v>
      </c>
      <c r="E82" s="16">
        <f t="shared" si="3"/>
        <v>-5.1000000000000156</v>
      </c>
    </row>
    <row r="83" spans="1:5" x14ac:dyDescent="0.2">
      <c r="A83" s="14">
        <v>45679</v>
      </c>
      <c r="B83" s="15">
        <v>4.3</v>
      </c>
      <c r="C83" s="15">
        <v>4.6120000000000001</v>
      </c>
      <c r="D83" s="16">
        <f t="shared" si="2"/>
        <v>2.4999999999999467</v>
      </c>
      <c r="E83" s="16">
        <f t="shared" si="3"/>
        <v>3.5000000000000142</v>
      </c>
    </row>
    <row r="84" spans="1:5" x14ac:dyDescent="0.2">
      <c r="A84" s="14">
        <v>45680</v>
      </c>
      <c r="B84" s="15">
        <v>4.2910000000000004</v>
      </c>
      <c r="C84" s="15">
        <v>4.6449999999999996</v>
      </c>
      <c r="D84" s="16">
        <f t="shared" si="2"/>
        <v>-0.89999999999994529</v>
      </c>
      <c r="E84" s="16">
        <f t="shared" si="3"/>
        <v>3.2999999999999474</v>
      </c>
    </row>
    <row r="85" spans="1:5" x14ac:dyDescent="0.2">
      <c r="A85" s="14">
        <v>45681</v>
      </c>
      <c r="B85" s="15">
        <v>4.2679999999999998</v>
      </c>
      <c r="C85" s="15">
        <v>4.6219999999999999</v>
      </c>
      <c r="D85" s="16">
        <f t="shared" si="2"/>
        <v>-2.3000000000000576</v>
      </c>
      <c r="E85" s="16">
        <f t="shared" si="3"/>
        <v>-2.2999999999999687</v>
      </c>
    </row>
    <row r="86" spans="1:5" x14ac:dyDescent="0.2">
      <c r="A86" s="14">
        <v>45684</v>
      </c>
      <c r="B86" s="15">
        <v>4.1989999999999998</v>
      </c>
      <c r="C86" s="15">
        <v>4.5350000000000001</v>
      </c>
      <c r="D86" s="16">
        <f t="shared" si="2"/>
        <v>-6.899999999999995</v>
      </c>
      <c r="E86" s="16">
        <f t="shared" si="3"/>
        <v>-8.6999999999999744</v>
      </c>
    </row>
    <row r="87" spans="1:5" x14ac:dyDescent="0.2">
      <c r="A87" s="14">
        <v>45685</v>
      </c>
      <c r="B87" s="15">
        <v>4.1970000000000001</v>
      </c>
      <c r="C87" s="15">
        <v>4.5330000000000004</v>
      </c>
      <c r="D87" s="16">
        <f t="shared" si="2"/>
        <v>-0.19999999999997797</v>
      </c>
      <c r="E87" s="16">
        <f t="shared" si="3"/>
        <v>-0.19999999999997797</v>
      </c>
    </row>
    <row r="88" spans="1:5" x14ac:dyDescent="0.2">
      <c r="A88" s="14">
        <v>45686</v>
      </c>
      <c r="B88" s="15">
        <v>4.2160000000000002</v>
      </c>
      <c r="C88" s="15">
        <v>4.53</v>
      </c>
      <c r="D88" s="16">
        <f t="shared" si="2"/>
        <v>1.9000000000000128</v>
      </c>
      <c r="E88" s="16">
        <f t="shared" si="3"/>
        <v>-0.30000000000001137</v>
      </c>
    </row>
    <row r="89" spans="1:5" x14ac:dyDescent="0.2">
      <c r="A89" s="14">
        <v>45687</v>
      </c>
      <c r="B89" s="15">
        <v>4.2080000000000002</v>
      </c>
      <c r="C89" s="15">
        <v>4.5170000000000003</v>
      </c>
      <c r="D89" s="16">
        <f t="shared" si="2"/>
        <v>-0.80000000000000071</v>
      </c>
      <c r="E89" s="16">
        <f t="shared" si="3"/>
        <v>-1.2999999999999901</v>
      </c>
    </row>
    <row r="90" spans="1:5" x14ac:dyDescent="0.2">
      <c r="A90" s="14">
        <v>45688</v>
      </c>
      <c r="B90" s="15">
        <v>4.1989999999999998</v>
      </c>
      <c r="C90" s="15">
        <v>4.5410000000000004</v>
      </c>
      <c r="D90" s="16">
        <f t="shared" si="2"/>
        <v>-0.90000000000003411</v>
      </c>
      <c r="E90" s="16">
        <f t="shared" si="3"/>
        <v>2.4000000000000021</v>
      </c>
    </row>
    <row r="91" spans="1:5" x14ac:dyDescent="0.2">
      <c r="A91" s="14">
        <v>45691</v>
      </c>
      <c r="B91" s="15">
        <v>4.25</v>
      </c>
      <c r="C91" s="15">
        <v>4.5570000000000004</v>
      </c>
      <c r="D91" s="16">
        <f t="shared" si="2"/>
        <v>5.1000000000000156</v>
      </c>
      <c r="E91" s="16">
        <f t="shared" si="3"/>
        <v>1.6000000000000014</v>
      </c>
    </row>
    <row r="92" spans="1:5" x14ac:dyDescent="0.2">
      <c r="A92" s="14">
        <v>45692</v>
      </c>
      <c r="B92" s="15">
        <v>4.2149999999999999</v>
      </c>
      <c r="C92" s="15">
        <v>4.5129999999999999</v>
      </c>
      <c r="D92" s="16">
        <f t="shared" si="2"/>
        <v>-3.5000000000000142</v>
      </c>
      <c r="E92" s="16">
        <f t="shared" si="3"/>
        <v>-4.4000000000000483</v>
      </c>
    </row>
    <row r="93" spans="1:5" x14ac:dyDescent="0.2">
      <c r="A93" s="14">
        <v>45693</v>
      </c>
      <c r="B93" s="15">
        <v>4.1890000000000001</v>
      </c>
      <c r="C93" s="15">
        <v>4.4189999999999996</v>
      </c>
      <c r="D93" s="16">
        <f t="shared" si="2"/>
        <v>-2.5999999999999801</v>
      </c>
      <c r="E93" s="16">
        <f t="shared" si="3"/>
        <v>-9.4000000000000306</v>
      </c>
    </row>
    <row r="94" spans="1:5" x14ac:dyDescent="0.2">
      <c r="A94" s="14">
        <v>45694</v>
      </c>
      <c r="B94" s="15">
        <v>4.2140000000000004</v>
      </c>
      <c r="C94" s="15">
        <v>4.4349999999999996</v>
      </c>
      <c r="D94" s="16">
        <f t="shared" si="2"/>
        <v>2.5000000000000355</v>
      </c>
      <c r="E94" s="16">
        <f t="shared" si="3"/>
        <v>1.6000000000000014</v>
      </c>
    </row>
    <row r="95" spans="1:5" x14ac:dyDescent="0.2">
      <c r="A95" s="14">
        <v>45695</v>
      </c>
      <c r="B95" s="15">
        <v>4.29</v>
      </c>
      <c r="C95" s="15">
        <v>4.4960000000000004</v>
      </c>
      <c r="D95" s="16">
        <f t="shared" si="2"/>
        <v>7.5999999999999623</v>
      </c>
      <c r="E95" s="16">
        <f t="shared" si="3"/>
        <v>6.1000000000000831</v>
      </c>
    </row>
    <row r="96" spans="1:5" x14ac:dyDescent="0.2">
      <c r="A96" s="14">
        <v>45698</v>
      </c>
      <c r="B96" s="15">
        <v>4.2770000000000001</v>
      </c>
      <c r="C96" s="15">
        <v>4.4980000000000002</v>
      </c>
      <c r="D96" s="16">
        <f t="shared" si="2"/>
        <v>-1.2999999999999901</v>
      </c>
      <c r="E96" s="16">
        <f t="shared" si="3"/>
        <v>0.19999999999997797</v>
      </c>
    </row>
    <row r="97" spans="1:5" x14ac:dyDescent="0.2">
      <c r="A97" s="14">
        <v>45699</v>
      </c>
      <c r="B97" s="15">
        <v>4.2859999999999996</v>
      </c>
      <c r="C97" s="15">
        <v>4.5359999999999996</v>
      </c>
      <c r="D97" s="16">
        <f t="shared" si="2"/>
        <v>0.89999999999994529</v>
      </c>
      <c r="E97" s="16">
        <f t="shared" si="3"/>
        <v>3.7999999999999368</v>
      </c>
    </row>
    <row r="98" spans="1:5" x14ac:dyDescent="0.2">
      <c r="A98" s="14">
        <v>45700</v>
      </c>
      <c r="B98" s="15">
        <v>4.3559999999999999</v>
      </c>
      <c r="C98" s="15">
        <v>4.625</v>
      </c>
      <c r="D98" s="16">
        <f t="shared" si="2"/>
        <v>7.0000000000000284</v>
      </c>
      <c r="E98" s="16">
        <f t="shared" si="3"/>
        <v>8.9000000000000412</v>
      </c>
    </row>
    <row r="99" spans="1:5" x14ac:dyDescent="0.2">
      <c r="A99" s="14">
        <v>45701</v>
      </c>
      <c r="B99" s="15">
        <v>4.3090000000000002</v>
      </c>
      <c r="C99" s="15">
        <v>4.53</v>
      </c>
      <c r="D99" s="16">
        <f t="shared" si="2"/>
        <v>-4.6999999999999709</v>
      </c>
      <c r="E99" s="16">
        <f t="shared" si="3"/>
        <v>-9.4999999999999751</v>
      </c>
    </row>
    <row r="100" spans="1:5" x14ac:dyDescent="0.2">
      <c r="A100" s="14">
        <v>45702</v>
      </c>
      <c r="B100" s="15">
        <v>4.2610000000000001</v>
      </c>
      <c r="C100" s="15">
        <v>4.4770000000000003</v>
      </c>
      <c r="D100" s="16">
        <f t="shared" si="2"/>
        <v>-4.8000000000000043</v>
      </c>
      <c r="E100" s="16">
        <f t="shared" si="3"/>
        <v>-5.2999999999999936</v>
      </c>
    </row>
    <row r="101" spans="1:5" x14ac:dyDescent="0.2">
      <c r="A101" s="14">
        <v>45705</v>
      </c>
      <c r="B101" s="15">
        <v>4.2610000000000001</v>
      </c>
      <c r="C101" s="15">
        <v>4.4770000000000003</v>
      </c>
      <c r="D101" s="16">
        <f t="shared" si="2"/>
        <v>0</v>
      </c>
      <c r="E101" s="16">
        <f t="shared" si="3"/>
        <v>0</v>
      </c>
    </row>
    <row r="102" spans="1:5" x14ac:dyDescent="0.2">
      <c r="A102" s="14">
        <v>45706</v>
      </c>
      <c r="B102" s="15">
        <v>4.3079999999999998</v>
      </c>
      <c r="C102" s="15">
        <v>4.5510000000000002</v>
      </c>
      <c r="D102" s="16">
        <f t="shared" si="2"/>
        <v>4.6999999999999709</v>
      </c>
      <c r="E102" s="16">
        <f t="shared" si="3"/>
        <v>7.3999999999999844</v>
      </c>
    </row>
    <row r="103" spans="1:5" x14ac:dyDescent="0.2">
      <c r="A103" s="14">
        <v>45707</v>
      </c>
      <c r="B103" s="15">
        <v>4.2699999999999996</v>
      </c>
      <c r="C103" s="15">
        <v>4.5339999999999998</v>
      </c>
      <c r="D103" s="16">
        <f t="shared" si="2"/>
        <v>-3.8000000000000256</v>
      </c>
      <c r="E103" s="16">
        <f t="shared" si="3"/>
        <v>-1.7000000000000348</v>
      </c>
    </row>
    <row r="104" spans="1:5" x14ac:dyDescent="0.2">
      <c r="A104" s="14">
        <v>45708</v>
      </c>
      <c r="B104" s="15">
        <v>4.2709999999999999</v>
      </c>
      <c r="C104" s="15">
        <v>4.5060000000000002</v>
      </c>
      <c r="D104" s="16">
        <f t="shared" si="2"/>
        <v>0.1000000000000334</v>
      </c>
      <c r="E104" s="16">
        <f t="shared" si="3"/>
        <v>-2.7999999999999581</v>
      </c>
    </row>
    <row r="105" spans="1:5" x14ac:dyDescent="0.2">
      <c r="A105" s="14">
        <v>45709</v>
      </c>
      <c r="B105" s="15">
        <v>4.2</v>
      </c>
      <c r="C105" s="15">
        <v>4.4320000000000004</v>
      </c>
      <c r="D105" s="16">
        <f t="shared" si="2"/>
        <v>-7.099999999999973</v>
      </c>
      <c r="E105" s="16">
        <f t="shared" si="3"/>
        <v>-7.3999999999999844</v>
      </c>
    </row>
    <row r="106" spans="1:5" x14ac:dyDescent="0.2">
      <c r="A106" s="14">
        <v>45712</v>
      </c>
      <c r="B106" s="15">
        <v>4.1760000000000002</v>
      </c>
      <c r="C106" s="15">
        <v>4.4009999999999998</v>
      </c>
      <c r="D106" s="16">
        <f t="shared" si="2"/>
        <v>-2.4000000000000021</v>
      </c>
      <c r="E106" s="16">
        <f t="shared" si="3"/>
        <v>-3.1000000000000583</v>
      </c>
    </row>
    <row r="107" spans="1:5" x14ac:dyDescent="0.2">
      <c r="A107" s="14">
        <v>45713</v>
      </c>
      <c r="B107" s="15">
        <v>4.0960000000000001</v>
      </c>
      <c r="C107" s="15">
        <v>4.2949999999999999</v>
      </c>
      <c r="D107" s="16">
        <f t="shared" si="2"/>
        <v>-8.0000000000000071</v>
      </c>
      <c r="E107" s="16">
        <f t="shared" si="3"/>
        <v>-10.599999999999987</v>
      </c>
    </row>
    <row r="108" spans="1:5" x14ac:dyDescent="0.2">
      <c r="A108" s="14">
        <v>45714</v>
      </c>
      <c r="B108" s="15">
        <v>4.0730000000000004</v>
      </c>
      <c r="C108" s="15">
        <v>4.2569999999999997</v>
      </c>
      <c r="D108" s="16">
        <f t="shared" si="2"/>
        <v>-2.2999999999999687</v>
      </c>
      <c r="E108" s="16">
        <f t="shared" si="3"/>
        <v>-3.8000000000000256</v>
      </c>
    </row>
    <row r="109" spans="1:5" x14ac:dyDescent="0.2">
      <c r="A109" s="14">
        <v>45715</v>
      </c>
      <c r="B109" s="15">
        <v>4.0529999999999999</v>
      </c>
      <c r="C109" s="15">
        <v>4.2610000000000001</v>
      </c>
      <c r="D109" s="16">
        <f t="shared" si="2"/>
        <v>-2.0000000000000462</v>
      </c>
      <c r="E109" s="16">
        <f t="shared" si="3"/>
        <v>0.40000000000004476</v>
      </c>
    </row>
    <row r="110" spans="1:5" x14ac:dyDescent="0.2">
      <c r="A110" s="14">
        <v>45716</v>
      </c>
      <c r="B110" s="15">
        <v>3.9910000000000001</v>
      </c>
      <c r="C110" s="15">
        <v>4.2089999999999996</v>
      </c>
      <c r="D110" s="16">
        <f t="shared" si="2"/>
        <v>-6.1999999999999833</v>
      </c>
      <c r="E110" s="16">
        <f t="shared" si="3"/>
        <v>-5.200000000000049</v>
      </c>
    </row>
    <row r="111" spans="1:5" x14ac:dyDescent="0.2">
      <c r="A111" s="14">
        <v>45719</v>
      </c>
      <c r="B111" s="15">
        <v>3.952</v>
      </c>
      <c r="C111" s="15">
        <v>4.1559999999999997</v>
      </c>
      <c r="D111" s="16">
        <f t="shared" si="2"/>
        <v>-3.9000000000000146</v>
      </c>
      <c r="E111" s="16">
        <f t="shared" si="3"/>
        <v>-5.2999999999999936</v>
      </c>
    </row>
    <row r="112" spans="1:5" x14ac:dyDescent="0.2">
      <c r="A112" s="14">
        <v>45720</v>
      </c>
      <c r="B112" s="15">
        <v>3.9929999999999999</v>
      </c>
      <c r="C112" s="15">
        <v>4.2450000000000001</v>
      </c>
      <c r="D112" s="16">
        <f t="shared" si="2"/>
        <v>4.0999999999999925</v>
      </c>
      <c r="E112" s="16">
        <f t="shared" si="3"/>
        <v>8.9000000000000412</v>
      </c>
    </row>
    <row r="113" spans="1:5" x14ac:dyDescent="0.2">
      <c r="A113" s="14">
        <v>45721</v>
      </c>
      <c r="B113" s="15">
        <v>4.0069999999999997</v>
      </c>
      <c r="C113" s="15">
        <v>4.28</v>
      </c>
      <c r="D113" s="16">
        <f t="shared" si="2"/>
        <v>1.399999999999979</v>
      </c>
      <c r="E113" s="16">
        <f t="shared" si="3"/>
        <v>3.5000000000000142</v>
      </c>
    </row>
    <row r="114" spans="1:5" x14ac:dyDescent="0.2">
      <c r="A114" s="14">
        <v>45722</v>
      </c>
      <c r="B114" s="15">
        <v>3.9609999999999999</v>
      </c>
      <c r="C114" s="15">
        <v>4.2789999999999999</v>
      </c>
      <c r="D114" s="16">
        <f t="shared" si="2"/>
        <v>-4.5999999999999819</v>
      </c>
      <c r="E114" s="16">
        <f t="shared" si="3"/>
        <v>-0.1000000000000334</v>
      </c>
    </row>
    <row r="115" spans="1:5" x14ac:dyDescent="0.2">
      <c r="A115" s="14">
        <v>45723</v>
      </c>
      <c r="B115" s="15">
        <v>4.0010000000000003</v>
      </c>
      <c r="C115" s="15">
        <v>4.3029999999999999</v>
      </c>
      <c r="D115" s="16">
        <f t="shared" si="2"/>
        <v>4.000000000000048</v>
      </c>
      <c r="E115" s="16">
        <f t="shared" si="3"/>
        <v>2.4000000000000021</v>
      </c>
    </row>
    <row r="116" spans="1:5" x14ac:dyDescent="0.2">
      <c r="A116" s="14">
        <v>45726</v>
      </c>
      <c r="B116" s="15">
        <v>3.8849999999999998</v>
      </c>
      <c r="C116" s="15">
        <v>4.2149999999999999</v>
      </c>
      <c r="D116" s="16">
        <f t="shared" si="2"/>
        <v>-11.600000000000055</v>
      </c>
      <c r="E116" s="16">
        <f t="shared" si="3"/>
        <v>-8.8000000000000078</v>
      </c>
    </row>
    <row r="117" spans="1:5" x14ac:dyDescent="0.2">
      <c r="A117" s="14">
        <v>45727</v>
      </c>
      <c r="B117" s="15">
        <v>3.9449999999999998</v>
      </c>
      <c r="C117" s="15">
        <v>4.2809999999999997</v>
      </c>
      <c r="D117" s="16">
        <f t="shared" si="2"/>
        <v>6.0000000000000053</v>
      </c>
      <c r="E117" s="16">
        <f t="shared" si="3"/>
        <v>6.5999999999999837</v>
      </c>
    </row>
    <row r="118" spans="1:5" x14ac:dyDescent="0.2">
      <c r="A118" s="14">
        <v>45728</v>
      </c>
      <c r="B118" s="15">
        <v>3.99</v>
      </c>
      <c r="C118" s="15">
        <v>4.3129999999999997</v>
      </c>
      <c r="D118" s="16">
        <f t="shared" si="2"/>
        <v>4.5000000000000373</v>
      </c>
      <c r="E118" s="16">
        <f t="shared" si="3"/>
        <v>3.2000000000000028</v>
      </c>
    </row>
    <row r="119" spans="1:5" x14ac:dyDescent="0.2">
      <c r="A119" s="14">
        <v>45729</v>
      </c>
      <c r="B119" s="15">
        <v>3.9590000000000001</v>
      </c>
      <c r="C119" s="15">
        <v>4.2699999999999996</v>
      </c>
      <c r="D119" s="16">
        <f t="shared" si="2"/>
        <v>-3.1000000000000139</v>
      </c>
      <c r="E119" s="16">
        <f t="shared" si="3"/>
        <v>-4.3000000000000149</v>
      </c>
    </row>
    <row r="120" spans="1:5" x14ac:dyDescent="0.2">
      <c r="A120" s="14">
        <v>45730</v>
      </c>
      <c r="B120" s="15">
        <v>4.0179999999999998</v>
      </c>
      <c r="C120" s="15">
        <v>4.3140000000000001</v>
      </c>
      <c r="D120" s="16">
        <f t="shared" si="2"/>
        <v>5.8999999999999719</v>
      </c>
      <c r="E120" s="16">
        <f t="shared" si="3"/>
        <v>4.4000000000000483</v>
      </c>
    </row>
    <row r="121" spans="1:5" x14ac:dyDescent="0.2">
      <c r="A121" s="14">
        <v>45733</v>
      </c>
      <c r="B121" s="15">
        <v>4.0460000000000003</v>
      </c>
      <c r="C121" s="15">
        <v>4.3</v>
      </c>
      <c r="D121" s="16">
        <f t="shared" si="2"/>
        <v>2.8000000000000469</v>
      </c>
      <c r="E121" s="16">
        <f t="shared" si="3"/>
        <v>-1.4000000000000234</v>
      </c>
    </row>
    <row r="122" spans="1:5" x14ac:dyDescent="0.2">
      <c r="A122" s="14">
        <v>45734</v>
      </c>
      <c r="B122" s="15">
        <v>4.0419999999999998</v>
      </c>
      <c r="C122" s="15">
        <v>4.2850000000000001</v>
      </c>
      <c r="D122" s="16">
        <f t="shared" si="2"/>
        <v>-0.40000000000004476</v>
      </c>
      <c r="E122" s="16">
        <f t="shared" si="3"/>
        <v>-1.499999999999968</v>
      </c>
    </row>
    <row r="123" spans="1:5" x14ac:dyDescent="0.2">
      <c r="A123" s="14">
        <v>45735</v>
      </c>
      <c r="B123" s="15">
        <v>3.9740000000000002</v>
      </c>
      <c r="C123" s="15">
        <v>4.2439999999999998</v>
      </c>
      <c r="D123" s="16">
        <f t="shared" si="2"/>
        <v>-6.7999999999999616</v>
      </c>
      <c r="E123" s="16">
        <f t="shared" si="3"/>
        <v>-4.1000000000000369</v>
      </c>
    </row>
    <row r="124" spans="1:5" x14ac:dyDescent="0.2">
      <c r="A124" s="14">
        <v>45736</v>
      </c>
      <c r="B124" s="15">
        <v>3.9649999999999999</v>
      </c>
      <c r="C124" s="15">
        <v>4.2389999999999999</v>
      </c>
      <c r="D124" s="16">
        <f t="shared" si="2"/>
        <v>-0.90000000000003411</v>
      </c>
      <c r="E124" s="16">
        <f t="shared" si="3"/>
        <v>-0.49999999999998934</v>
      </c>
    </row>
    <row r="125" spans="1:5" x14ac:dyDescent="0.2">
      <c r="A125" s="14">
        <v>45737</v>
      </c>
      <c r="B125" s="15">
        <v>3.95</v>
      </c>
      <c r="C125" s="15">
        <v>4.2480000000000002</v>
      </c>
      <c r="D125" s="16">
        <f t="shared" si="2"/>
        <v>-1.499999999999968</v>
      </c>
      <c r="E125" s="16">
        <f t="shared" si="3"/>
        <v>0.90000000000003411</v>
      </c>
    </row>
    <row r="126" spans="1:5" x14ac:dyDescent="0.2">
      <c r="A126" s="14">
        <v>45740</v>
      </c>
      <c r="B126" s="15">
        <v>4.0369999999999999</v>
      </c>
      <c r="C126" s="15">
        <v>4.3369999999999997</v>
      </c>
      <c r="D126" s="16">
        <f t="shared" si="2"/>
        <v>8.6999999999999744</v>
      </c>
      <c r="E126" s="16">
        <f t="shared" si="3"/>
        <v>8.8999999999999524</v>
      </c>
    </row>
    <row r="127" spans="1:5" x14ac:dyDescent="0.2">
      <c r="A127" s="14">
        <v>45741</v>
      </c>
      <c r="B127" s="15">
        <v>4.0170000000000003</v>
      </c>
      <c r="C127" s="15">
        <v>4.3140000000000001</v>
      </c>
      <c r="D127" s="16">
        <f t="shared" si="2"/>
        <v>-1.9999999999999574</v>
      </c>
      <c r="E127" s="16">
        <f t="shared" si="3"/>
        <v>-2.2999999999999687</v>
      </c>
    </row>
    <row r="128" spans="1:5" x14ac:dyDescent="0.2">
      <c r="A128" s="14">
        <v>45742</v>
      </c>
      <c r="B128" s="15">
        <v>4.0190000000000001</v>
      </c>
      <c r="C128" s="15">
        <v>4.3529999999999998</v>
      </c>
      <c r="D128" s="16">
        <f t="shared" si="2"/>
        <v>0.19999999999997797</v>
      </c>
      <c r="E128" s="16">
        <f t="shared" si="3"/>
        <v>3.8999999999999702</v>
      </c>
    </row>
    <row r="129" spans="1:5" x14ac:dyDescent="0.2">
      <c r="A129" s="14">
        <v>45743</v>
      </c>
      <c r="B129" s="15">
        <v>3.9929999999999999</v>
      </c>
      <c r="C129" s="15">
        <v>4.3609999999999998</v>
      </c>
      <c r="D129" s="16">
        <f t="shared" si="2"/>
        <v>-2.6000000000000245</v>
      </c>
      <c r="E129" s="16">
        <f t="shared" si="3"/>
        <v>0.80000000000000071</v>
      </c>
    </row>
    <row r="130" spans="1:5" x14ac:dyDescent="0.2">
      <c r="A130" s="14">
        <v>45744</v>
      </c>
      <c r="B130" s="15">
        <v>3.9129999999999998</v>
      </c>
      <c r="C130" s="15">
        <v>4.25</v>
      </c>
      <c r="D130" s="16">
        <f t="shared" si="2"/>
        <v>-8.0000000000000071</v>
      </c>
      <c r="E130" s="16">
        <f t="shared" si="3"/>
        <v>-11.099999999999977</v>
      </c>
    </row>
    <row r="131" spans="1:5" x14ac:dyDescent="0.2">
      <c r="A131" s="14">
        <v>45747</v>
      </c>
      <c r="B131" s="15">
        <v>3.8849999999999998</v>
      </c>
      <c r="C131" s="15">
        <v>4.2069999999999999</v>
      </c>
      <c r="D131" s="16">
        <f t="shared" si="2"/>
        <v>-2.8000000000000025</v>
      </c>
      <c r="E131" s="16">
        <f t="shared" si="3"/>
        <v>-4.3000000000000149</v>
      </c>
    </row>
    <row r="132" spans="1:5" x14ac:dyDescent="0.2">
      <c r="A132" s="14">
        <v>45748</v>
      </c>
      <c r="B132" s="15">
        <v>3.883</v>
      </c>
      <c r="C132" s="15">
        <v>4.17</v>
      </c>
      <c r="D132" s="16">
        <f t="shared" ref="D132:D195" si="4">100*(B132-B131)</f>
        <v>-0.19999999999997797</v>
      </c>
      <c r="E132" s="16">
        <f t="shared" ref="E132:E195" si="5">100*(C132-C131)</f>
        <v>-3.6999999999999922</v>
      </c>
    </row>
    <row r="133" spans="1:5" x14ac:dyDescent="0.2">
      <c r="A133" s="14">
        <v>45749</v>
      </c>
      <c r="B133" s="15">
        <v>3.863</v>
      </c>
      <c r="C133" s="15">
        <v>4.133</v>
      </c>
      <c r="D133" s="16">
        <f t="shared" si="4"/>
        <v>-2.0000000000000018</v>
      </c>
      <c r="E133" s="16">
        <f t="shared" si="5"/>
        <v>-3.6999999999999922</v>
      </c>
    </row>
    <row r="134" spans="1:5" x14ac:dyDescent="0.2">
      <c r="A134" s="14">
        <v>45750</v>
      </c>
      <c r="B134" s="15">
        <v>3.6850000000000001</v>
      </c>
      <c r="C134" s="15">
        <v>4.03</v>
      </c>
      <c r="D134" s="16">
        <f t="shared" si="4"/>
        <v>-17.799999999999994</v>
      </c>
      <c r="E134" s="16">
        <f t="shared" si="5"/>
        <v>-10.299999999999976</v>
      </c>
    </row>
    <row r="135" spans="1:5" x14ac:dyDescent="0.2">
      <c r="A135" s="14">
        <v>45751</v>
      </c>
      <c r="B135" s="15">
        <v>3.6549999999999998</v>
      </c>
      <c r="C135" s="15">
        <v>3.9969999999999999</v>
      </c>
      <c r="D135" s="16">
        <f t="shared" si="4"/>
        <v>-3.0000000000000249</v>
      </c>
      <c r="E135" s="16">
        <f t="shared" si="5"/>
        <v>-3.3000000000000362</v>
      </c>
    </row>
    <row r="136" spans="1:5" x14ac:dyDescent="0.2">
      <c r="A136" s="14">
        <v>45754</v>
      </c>
      <c r="B136" s="15">
        <v>3.766</v>
      </c>
      <c r="C136" s="15">
        <v>4.1859999999999999</v>
      </c>
      <c r="D136" s="16">
        <f t="shared" si="4"/>
        <v>11.100000000000021</v>
      </c>
      <c r="E136" s="16">
        <f t="shared" si="5"/>
        <v>18.900000000000006</v>
      </c>
    </row>
    <row r="137" spans="1:5" x14ac:dyDescent="0.2">
      <c r="A137" s="14">
        <v>45755</v>
      </c>
      <c r="B137" s="15">
        <v>3.7290000000000001</v>
      </c>
      <c r="C137" s="15">
        <v>4.2949999999999999</v>
      </c>
      <c r="D137" s="16">
        <f t="shared" si="4"/>
        <v>-3.6999999999999922</v>
      </c>
      <c r="E137" s="16">
        <f t="shared" si="5"/>
        <v>10.899999999999999</v>
      </c>
    </row>
    <row r="138" spans="1:5" x14ac:dyDescent="0.2">
      <c r="A138" s="14">
        <v>45756</v>
      </c>
      <c r="B138" s="15">
        <v>3.911</v>
      </c>
      <c r="C138" s="15">
        <v>4.3360000000000003</v>
      </c>
      <c r="D138" s="16">
        <f t="shared" si="4"/>
        <v>18.199999999999996</v>
      </c>
      <c r="E138" s="16">
        <f t="shared" si="5"/>
        <v>4.1000000000000369</v>
      </c>
    </row>
    <row r="139" spans="1:5" x14ac:dyDescent="0.2">
      <c r="A139" s="14">
        <v>45757</v>
      </c>
      <c r="B139" s="15">
        <v>3.8660000000000001</v>
      </c>
      <c r="C139" s="15">
        <v>4.4279999999999999</v>
      </c>
      <c r="D139" s="16">
        <f t="shared" si="4"/>
        <v>-4.4999999999999929</v>
      </c>
      <c r="E139" s="16">
        <f t="shared" si="5"/>
        <v>9.1999999999999638</v>
      </c>
    </row>
    <row r="140" spans="1:5" x14ac:dyDescent="0.2">
      <c r="A140" s="14">
        <v>45758</v>
      </c>
      <c r="B140" s="15">
        <v>3.9630000000000001</v>
      </c>
      <c r="C140" s="15">
        <v>4.492</v>
      </c>
      <c r="D140" s="16">
        <f t="shared" si="4"/>
        <v>9.6999999999999975</v>
      </c>
      <c r="E140" s="16">
        <f t="shared" si="5"/>
        <v>6.4000000000000057</v>
      </c>
    </row>
    <row r="141" spans="1:5" x14ac:dyDescent="0.2">
      <c r="A141" s="14">
        <v>45761</v>
      </c>
      <c r="B141" s="15">
        <v>3.847</v>
      </c>
      <c r="C141" s="15">
        <v>4.3760000000000003</v>
      </c>
      <c r="D141" s="16">
        <f t="shared" si="4"/>
        <v>-11.60000000000001</v>
      </c>
      <c r="E141" s="16">
        <f t="shared" si="5"/>
        <v>-11.599999999999966</v>
      </c>
    </row>
    <row r="142" spans="1:5" x14ac:dyDescent="0.2">
      <c r="A142" s="14">
        <v>45762</v>
      </c>
      <c r="B142" s="15">
        <v>3.8479999999999999</v>
      </c>
      <c r="C142" s="15">
        <v>4.3360000000000003</v>
      </c>
      <c r="D142" s="16">
        <f t="shared" si="4"/>
        <v>9.9999999999988987E-2</v>
      </c>
      <c r="E142" s="16">
        <f t="shared" si="5"/>
        <v>-4.0000000000000036</v>
      </c>
    </row>
    <row r="143" spans="1:5" x14ac:dyDescent="0.2">
      <c r="A143" s="14">
        <v>45763</v>
      </c>
      <c r="B143" s="15">
        <v>3.7719999999999998</v>
      </c>
      <c r="C143" s="15">
        <v>4.2789999999999999</v>
      </c>
      <c r="D143" s="16">
        <f t="shared" si="4"/>
        <v>-7.6000000000000068</v>
      </c>
      <c r="E143" s="16">
        <f t="shared" si="5"/>
        <v>-5.7000000000000384</v>
      </c>
    </row>
    <row r="144" spans="1:5" x14ac:dyDescent="0.2">
      <c r="A144" s="14">
        <v>45764</v>
      </c>
      <c r="B144" s="15">
        <v>3.8</v>
      </c>
      <c r="C144" s="15">
        <v>4.3259999999999996</v>
      </c>
      <c r="D144" s="16">
        <f t="shared" si="4"/>
        <v>2.8000000000000025</v>
      </c>
      <c r="E144" s="16">
        <f t="shared" si="5"/>
        <v>4.6999999999999709</v>
      </c>
    </row>
    <row r="145" spans="1:5" x14ac:dyDescent="0.2">
      <c r="A145" s="14">
        <v>45765</v>
      </c>
      <c r="B145" s="15">
        <v>3.8</v>
      </c>
      <c r="C145" s="15">
        <v>4.3259999999999996</v>
      </c>
      <c r="D145" s="16">
        <f t="shared" si="4"/>
        <v>0</v>
      </c>
      <c r="E145" s="16">
        <f t="shared" si="5"/>
        <v>0</v>
      </c>
    </row>
    <row r="146" spans="1:5" x14ac:dyDescent="0.2">
      <c r="A146" s="14">
        <v>45768</v>
      </c>
      <c r="B146" s="15">
        <v>3.7650000000000001</v>
      </c>
      <c r="C146" s="15">
        <v>4.4119999999999999</v>
      </c>
      <c r="D146" s="16">
        <f t="shared" si="4"/>
        <v>-3.4999999999999698</v>
      </c>
      <c r="E146" s="16">
        <f t="shared" si="5"/>
        <v>8.6000000000000298</v>
      </c>
    </row>
    <row r="147" spans="1:5" x14ac:dyDescent="0.2">
      <c r="A147" s="14">
        <v>45769</v>
      </c>
      <c r="B147" s="15">
        <v>3.82</v>
      </c>
      <c r="C147" s="15">
        <v>4.4029999999999996</v>
      </c>
      <c r="D147" s="16">
        <f t="shared" si="4"/>
        <v>5.4999999999999716</v>
      </c>
      <c r="E147" s="16">
        <f t="shared" si="5"/>
        <v>-0.90000000000003411</v>
      </c>
    </row>
    <row r="148" spans="1:5" x14ac:dyDescent="0.2">
      <c r="A148" s="14">
        <v>45770</v>
      </c>
      <c r="B148" s="15">
        <v>3.8730000000000002</v>
      </c>
      <c r="C148" s="15">
        <v>4.3840000000000003</v>
      </c>
      <c r="D148" s="16">
        <f t="shared" si="4"/>
        <v>5.300000000000038</v>
      </c>
      <c r="E148" s="16">
        <f t="shared" si="5"/>
        <v>-1.899999999999924</v>
      </c>
    </row>
    <row r="149" spans="1:5" x14ac:dyDescent="0.2">
      <c r="A149" s="14">
        <v>45771</v>
      </c>
      <c r="B149" s="15">
        <v>3.8</v>
      </c>
      <c r="C149" s="15">
        <v>4.3170000000000002</v>
      </c>
      <c r="D149" s="16">
        <f t="shared" si="4"/>
        <v>-7.3000000000000398</v>
      </c>
      <c r="E149" s="16">
        <f t="shared" si="5"/>
        <v>-6.7000000000000171</v>
      </c>
    </row>
    <row r="150" spans="1:5" x14ac:dyDescent="0.2">
      <c r="A150" s="14">
        <v>45772</v>
      </c>
      <c r="B150" s="15">
        <v>3.75</v>
      </c>
      <c r="C150" s="15">
        <v>4.2370000000000001</v>
      </c>
      <c r="D150" s="16">
        <f t="shared" si="4"/>
        <v>-4.9999999999999822</v>
      </c>
      <c r="E150" s="16">
        <f t="shared" si="5"/>
        <v>-8.0000000000000071</v>
      </c>
    </row>
    <row r="151" spans="1:5" x14ac:dyDescent="0.2">
      <c r="A151" s="14">
        <v>45775</v>
      </c>
      <c r="B151" s="15">
        <v>3.6960000000000002</v>
      </c>
      <c r="C151" s="15">
        <v>4.21</v>
      </c>
      <c r="D151" s="16">
        <f t="shared" si="4"/>
        <v>-5.3999999999999826</v>
      </c>
      <c r="E151" s="16">
        <f t="shared" si="5"/>
        <v>-2.7000000000000135</v>
      </c>
    </row>
    <row r="152" spans="1:5" x14ac:dyDescent="0.2">
      <c r="A152" s="14">
        <v>45776</v>
      </c>
      <c r="B152" s="15">
        <v>3.6520000000000001</v>
      </c>
      <c r="C152" s="15">
        <v>4.1740000000000004</v>
      </c>
      <c r="D152" s="16">
        <f t="shared" si="4"/>
        <v>-4.4000000000000039</v>
      </c>
      <c r="E152" s="16">
        <f t="shared" si="5"/>
        <v>-3.5999999999999588</v>
      </c>
    </row>
    <row r="153" spans="1:5" x14ac:dyDescent="0.2">
      <c r="A153" s="14">
        <v>45777</v>
      </c>
      <c r="B153" s="15">
        <v>3.605</v>
      </c>
      <c r="C153" s="15">
        <v>4.1630000000000003</v>
      </c>
      <c r="D153" s="16">
        <f t="shared" si="4"/>
        <v>-4.7000000000000153</v>
      </c>
      <c r="E153" s="16">
        <f t="shared" si="5"/>
        <v>-1.1000000000000121</v>
      </c>
    </row>
    <row r="154" spans="1:5" x14ac:dyDescent="0.2">
      <c r="A154" s="14">
        <v>45778</v>
      </c>
      <c r="B154" s="15">
        <v>3.7010000000000001</v>
      </c>
      <c r="C154" s="15">
        <v>4.22</v>
      </c>
      <c r="D154" s="16">
        <f t="shared" si="4"/>
        <v>9.6000000000000085</v>
      </c>
      <c r="E154" s="16">
        <f t="shared" si="5"/>
        <v>5.6999999999999496</v>
      </c>
    </row>
    <row r="155" spans="1:5" x14ac:dyDescent="0.2">
      <c r="A155" s="14">
        <v>45779</v>
      </c>
      <c r="B155" s="15">
        <v>3.8250000000000002</v>
      </c>
      <c r="C155" s="15">
        <v>4.3099999999999996</v>
      </c>
      <c r="D155" s="16">
        <f t="shared" si="4"/>
        <v>12.400000000000011</v>
      </c>
      <c r="E155" s="16">
        <f t="shared" si="5"/>
        <v>8.9999999999999858</v>
      </c>
    </row>
    <row r="156" spans="1:5" x14ac:dyDescent="0.2">
      <c r="A156" s="14">
        <v>45782</v>
      </c>
      <c r="B156" s="15">
        <v>3.8340000000000001</v>
      </c>
      <c r="C156" s="15">
        <v>4.3449999999999998</v>
      </c>
      <c r="D156" s="16">
        <f t="shared" si="4"/>
        <v>0.8999999999999897</v>
      </c>
      <c r="E156" s="16">
        <f t="shared" si="5"/>
        <v>3.5000000000000142</v>
      </c>
    </row>
    <row r="157" spans="1:5" x14ac:dyDescent="0.2">
      <c r="A157" s="14">
        <v>45783</v>
      </c>
      <c r="B157" s="15">
        <v>3.7850000000000001</v>
      </c>
      <c r="C157" s="15">
        <v>4.2969999999999997</v>
      </c>
      <c r="D157" s="16">
        <f t="shared" si="4"/>
        <v>-4.8999999999999932</v>
      </c>
      <c r="E157" s="16">
        <f t="shared" si="5"/>
        <v>-4.8000000000000043</v>
      </c>
    </row>
    <row r="158" spans="1:5" x14ac:dyDescent="0.2">
      <c r="A158" s="14">
        <v>45784</v>
      </c>
      <c r="B158" s="15">
        <v>3.7789999999999999</v>
      </c>
      <c r="C158" s="15">
        <v>4.2709999999999999</v>
      </c>
      <c r="D158" s="16">
        <f t="shared" si="4"/>
        <v>-0.60000000000002274</v>
      </c>
      <c r="E158" s="16">
        <f t="shared" si="5"/>
        <v>-2.5999999999999801</v>
      </c>
    </row>
    <row r="159" spans="1:5" x14ac:dyDescent="0.2">
      <c r="A159" s="14">
        <v>45785</v>
      </c>
      <c r="B159" s="15">
        <v>3.8759999999999999</v>
      </c>
      <c r="C159" s="15">
        <v>4.38</v>
      </c>
      <c r="D159" s="16">
        <f t="shared" si="4"/>
        <v>9.6999999999999975</v>
      </c>
      <c r="E159" s="16">
        <f t="shared" si="5"/>
        <v>10.899999999999999</v>
      </c>
    </row>
    <row r="160" spans="1:5" x14ac:dyDescent="0.2">
      <c r="A160" s="14">
        <v>45786</v>
      </c>
      <c r="B160" s="15">
        <v>3.8919999999999999</v>
      </c>
      <c r="C160" s="15">
        <v>4.38</v>
      </c>
      <c r="D160" s="16">
        <f t="shared" si="4"/>
        <v>1.6000000000000014</v>
      </c>
      <c r="E160" s="16">
        <f t="shared" si="5"/>
        <v>0</v>
      </c>
    </row>
    <row r="161" spans="1:5" x14ac:dyDescent="0.2">
      <c r="A161" s="14">
        <v>45789</v>
      </c>
      <c r="B161" s="15">
        <v>4.0119999999999996</v>
      </c>
      <c r="C161" s="15">
        <v>4.4729999999999999</v>
      </c>
      <c r="D161" s="16">
        <f t="shared" si="4"/>
        <v>11.999999999999966</v>
      </c>
      <c r="E161" s="16">
        <f t="shared" si="5"/>
        <v>9.2999999999999972</v>
      </c>
    </row>
    <row r="162" spans="1:5" x14ac:dyDescent="0.2">
      <c r="A162" s="14">
        <v>45790</v>
      </c>
      <c r="B162" s="15">
        <v>4.0019999999999998</v>
      </c>
      <c r="C162" s="15">
        <v>4.4669999999999996</v>
      </c>
      <c r="D162" s="16">
        <f t="shared" si="4"/>
        <v>-0.99999999999997868</v>
      </c>
      <c r="E162" s="16">
        <f t="shared" si="5"/>
        <v>-0.60000000000002274</v>
      </c>
    </row>
    <row r="163" spans="1:5" x14ac:dyDescent="0.2">
      <c r="A163" s="14">
        <v>45791</v>
      </c>
      <c r="B163" s="15">
        <v>4.0529999999999999</v>
      </c>
      <c r="C163" s="15">
        <v>4.5380000000000003</v>
      </c>
      <c r="D163" s="16">
        <f t="shared" si="4"/>
        <v>5.1000000000000156</v>
      </c>
      <c r="E163" s="16">
        <f t="shared" si="5"/>
        <v>7.1000000000000618</v>
      </c>
    </row>
    <row r="164" spans="1:5" x14ac:dyDescent="0.2">
      <c r="A164" s="14">
        <v>45792</v>
      </c>
      <c r="B164" s="15">
        <v>3.9630000000000001</v>
      </c>
      <c r="C164" s="15">
        <v>4.4329999999999998</v>
      </c>
      <c r="D164" s="16">
        <f t="shared" si="4"/>
        <v>-8.9999999999999858</v>
      </c>
      <c r="E164" s="16">
        <f t="shared" si="5"/>
        <v>-10.500000000000043</v>
      </c>
    </row>
    <row r="165" spans="1:5" x14ac:dyDescent="0.2">
      <c r="A165" s="14">
        <v>45793</v>
      </c>
      <c r="B165" s="15">
        <v>4.0019999999999998</v>
      </c>
      <c r="C165" s="15">
        <v>4.4800000000000004</v>
      </c>
      <c r="D165" s="16">
        <f t="shared" si="4"/>
        <v>3.8999999999999702</v>
      </c>
      <c r="E165" s="16">
        <f t="shared" si="5"/>
        <v>4.7000000000000597</v>
      </c>
    </row>
    <row r="166" spans="1:5" x14ac:dyDescent="0.2">
      <c r="A166" s="14">
        <v>45796</v>
      </c>
      <c r="B166" s="15">
        <v>3.9780000000000002</v>
      </c>
      <c r="C166" s="15">
        <v>4.45</v>
      </c>
      <c r="D166" s="16">
        <f t="shared" si="4"/>
        <v>-2.3999999999999577</v>
      </c>
      <c r="E166" s="16">
        <f t="shared" si="5"/>
        <v>-3.0000000000000249</v>
      </c>
    </row>
    <row r="167" spans="1:5" x14ac:dyDescent="0.2">
      <c r="A167" s="14">
        <v>45797</v>
      </c>
      <c r="B167" s="15">
        <v>3.9729999999999999</v>
      </c>
      <c r="C167" s="15">
        <v>4.4889999999999999</v>
      </c>
      <c r="D167" s="16">
        <f t="shared" si="4"/>
        <v>-0.50000000000003375</v>
      </c>
      <c r="E167" s="16">
        <f t="shared" si="5"/>
        <v>3.8999999999999702</v>
      </c>
    </row>
    <row r="168" spans="1:5" x14ac:dyDescent="0.2">
      <c r="A168" s="14">
        <v>45798</v>
      </c>
      <c r="B168" s="15">
        <v>4.0199999999999996</v>
      </c>
      <c r="C168" s="15">
        <v>4.601</v>
      </c>
      <c r="D168" s="16">
        <f t="shared" si="4"/>
        <v>4.6999999999999709</v>
      </c>
      <c r="E168" s="16">
        <f t="shared" si="5"/>
        <v>11.20000000000001</v>
      </c>
    </row>
    <row r="169" spans="1:5" x14ac:dyDescent="0.2">
      <c r="A169" s="14">
        <v>45799</v>
      </c>
      <c r="B169" s="15">
        <v>3.992</v>
      </c>
      <c r="C169" s="15">
        <v>4.53</v>
      </c>
      <c r="D169" s="16">
        <f t="shared" si="4"/>
        <v>-2.7999999999999581</v>
      </c>
      <c r="E169" s="16">
        <f t="shared" si="5"/>
        <v>-7.099999999999973</v>
      </c>
    </row>
    <row r="170" spans="1:5" x14ac:dyDescent="0.2">
      <c r="A170" s="14">
        <v>45800</v>
      </c>
      <c r="B170" s="15">
        <v>3.9940000000000002</v>
      </c>
      <c r="C170" s="15">
        <v>4.5129999999999999</v>
      </c>
      <c r="D170" s="16">
        <f t="shared" si="4"/>
        <v>0.20000000000002238</v>
      </c>
      <c r="E170" s="16">
        <f t="shared" si="5"/>
        <v>-1.7000000000000348</v>
      </c>
    </row>
    <row r="171" spans="1:5" x14ac:dyDescent="0.2">
      <c r="A171" s="14">
        <v>45803</v>
      </c>
      <c r="B171" s="15">
        <v>3.9940000000000002</v>
      </c>
      <c r="C171" s="15">
        <v>4.5129999999999999</v>
      </c>
      <c r="D171" s="16">
        <f t="shared" si="4"/>
        <v>0</v>
      </c>
      <c r="E171" s="16">
        <f t="shared" si="5"/>
        <v>0</v>
      </c>
    </row>
    <row r="172" spans="1:5" x14ac:dyDescent="0.2">
      <c r="A172" s="14">
        <v>45804</v>
      </c>
      <c r="B172" s="15">
        <v>3.9830000000000001</v>
      </c>
      <c r="C172" s="15">
        <v>4.4459999999999997</v>
      </c>
      <c r="D172" s="16">
        <f t="shared" si="4"/>
        <v>-1.1000000000000121</v>
      </c>
      <c r="E172" s="16">
        <f t="shared" si="5"/>
        <v>-6.7000000000000171</v>
      </c>
    </row>
    <row r="173" spans="1:5" x14ac:dyDescent="0.2">
      <c r="A173" s="14">
        <v>45805</v>
      </c>
      <c r="B173" s="15">
        <v>3.9910000000000001</v>
      </c>
      <c r="C173" s="15">
        <v>4.4800000000000004</v>
      </c>
      <c r="D173" s="16">
        <f t="shared" si="4"/>
        <v>0.80000000000000071</v>
      </c>
      <c r="E173" s="16">
        <f t="shared" si="5"/>
        <v>3.4000000000000696</v>
      </c>
    </row>
    <row r="174" spans="1:5" x14ac:dyDescent="0.2">
      <c r="A174" s="14">
        <v>45806</v>
      </c>
      <c r="B174" s="15">
        <v>3.94</v>
      </c>
      <c r="C174" s="15">
        <v>4.42</v>
      </c>
      <c r="D174" s="16">
        <f t="shared" si="4"/>
        <v>-5.1000000000000156</v>
      </c>
      <c r="E174" s="16">
        <f t="shared" si="5"/>
        <v>-6.0000000000000497</v>
      </c>
    </row>
    <row r="175" spans="1:5" x14ac:dyDescent="0.2">
      <c r="A175" s="14">
        <v>45807</v>
      </c>
      <c r="B175" s="15">
        <v>3.9009999999999998</v>
      </c>
      <c r="C175" s="15">
        <v>4.4029999999999996</v>
      </c>
      <c r="D175" s="16">
        <f t="shared" si="4"/>
        <v>-3.9000000000000146</v>
      </c>
      <c r="E175" s="16">
        <f t="shared" si="5"/>
        <v>-1.7000000000000348</v>
      </c>
    </row>
    <row r="176" spans="1:5" x14ac:dyDescent="0.2">
      <c r="A176" s="14">
        <v>45810</v>
      </c>
      <c r="B176" s="15">
        <v>3.9380000000000002</v>
      </c>
      <c r="C176" s="15">
        <v>4.4420000000000002</v>
      </c>
      <c r="D176" s="16">
        <f t="shared" si="4"/>
        <v>3.7000000000000366</v>
      </c>
      <c r="E176" s="16">
        <f t="shared" si="5"/>
        <v>3.900000000000059</v>
      </c>
    </row>
    <row r="177" spans="1:5" x14ac:dyDescent="0.2">
      <c r="A177" s="14">
        <v>45811</v>
      </c>
      <c r="B177" s="15">
        <v>3.9529999999999998</v>
      </c>
      <c r="C177" s="15">
        <v>4.4560000000000004</v>
      </c>
      <c r="D177" s="16">
        <f t="shared" si="4"/>
        <v>1.499999999999968</v>
      </c>
      <c r="E177" s="16">
        <f t="shared" si="5"/>
        <v>1.4000000000000234</v>
      </c>
    </row>
    <row r="178" spans="1:5" x14ac:dyDescent="0.2">
      <c r="A178" s="14">
        <v>45812</v>
      </c>
      <c r="B178" s="15">
        <v>3.8679999999999999</v>
      </c>
      <c r="C178" s="15">
        <v>4.3559999999999999</v>
      </c>
      <c r="D178" s="16">
        <f t="shared" si="4"/>
        <v>-8.4999999999999964</v>
      </c>
      <c r="E178" s="16">
        <f t="shared" si="5"/>
        <v>-10.000000000000053</v>
      </c>
    </row>
    <row r="179" spans="1:5" x14ac:dyDescent="0.2">
      <c r="A179" s="14">
        <v>45813</v>
      </c>
      <c r="B179" s="15">
        <v>3.9220000000000002</v>
      </c>
      <c r="C179" s="15">
        <v>4.3929999999999998</v>
      </c>
      <c r="D179" s="16">
        <f t="shared" si="4"/>
        <v>5.400000000000027</v>
      </c>
      <c r="E179" s="16">
        <f t="shared" si="5"/>
        <v>3.6999999999999922</v>
      </c>
    </row>
    <row r="180" spans="1:5" x14ac:dyDescent="0.2">
      <c r="A180" s="14">
        <v>45814</v>
      </c>
      <c r="B180" s="15">
        <v>4.0380000000000003</v>
      </c>
      <c r="C180" s="15">
        <v>4.508</v>
      </c>
      <c r="D180" s="16">
        <f t="shared" si="4"/>
        <v>11.60000000000001</v>
      </c>
      <c r="E180" s="16">
        <f t="shared" si="5"/>
        <v>11.500000000000021</v>
      </c>
    </row>
    <row r="181" spans="1:5" x14ac:dyDescent="0.2">
      <c r="A181" s="14">
        <v>45817</v>
      </c>
      <c r="B181" s="15">
        <v>4.0039999999999996</v>
      </c>
      <c r="C181" s="15">
        <v>4.476</v>
      </c>
      <c r="D181" s="16">
        <f t="shared" si="4"/>
        <v>-3.4000000000000696</v>
      </c>
      <c r="E181" s="16">
        <f t="shared" si="5"/>
        <v>-3.2000000000000028</v>
      </c>
    </row>
    <row r="182" spans="1:5" x14ac:dyDescent="0.2">
      <c r="A182" s="14">
        <v>45818</v>
      </c>
      <c r="B182" s="15">
        <v>4.0199999999999996</v>
      </c>
      <c r="C182" s="15">
        <v>4.4720000000000004</v>
      </c>
      <c r="D182" s="16">
        <f t="shared" si="4"/>
        <v>1.6000000000000014</v>
      </c>
      <c r="E182" s="16">
        <f t="shared" si="5"/>
        <v>-0.39999999999995595</v>
      </c>
    </row>
    <row r="183" spans="1:5" x14ac:dyDescent="0.2">
      <c r="A183" s="14">
        <v>45819</v>
      </c>
      <c r="B183" s="15">
        <v>3.9540000000000002</v>
      </c>
      <c r="C183" s="15">
        <v>4.4219999999999997</v>
      </c>
      <c r="D183" s="16">
        <f t="shared" si="4"/>
        <v>-6.5999999999999392</v>
      </c>
      <c r="E183" s="16">
        <f t="shared" si="5"/>
        <v>-5.0000000000000711</v>
      </c>
    </row>
    <row r="184" spans="1:5" x14ac:dyDescent="0.2">
      <c r="A184" s="14">
        <v>45820</v>
      </c>
      <c r="B184" s="15">
        <v>3.91</v>
      </c>
      <c r="C184" s="15">
        <v>4.3609999999999998</v>
      </c>
      <c r="D184" s="16">
        <f t="shared" si="4"/>
        <v>-4.4000000000000039</v>
      </c>
      <c r="E184" s="16">
        <f t="shared" si="5"/>
        <v>-6.0999999999999943</v>
      </c>
    </row>
    <row r="185" spans="1:5" x14ac:dyDescent="0.2">
      <c r="A185" s="14">
        <v>45821</v>
      </c>
      <c r="B185" s="15">
        <v>3.9489999999999998</v>
      </c>
      <c r="C185" s="15">
        <v>4.4009999999999998</v>
      </c>
      <c r="D185" s="16">
        <f t="shared" si="4"/>
        <v>3.8999999999999702</v>
      </c>
      <c r="E185" s="16">
        <f t="shared" si="5"/>
        <v>4.0000000000000036</v>
      </c>
    </row>
    <row r="186" spans="1:5" x14ac:dyDescent="0.2">
      <c r="A186" s="14">
        <v>45824</v>
      </c>
      <c r="B186" s="15">
        <v>3.9689999999999999</v>
      </c>
      <c r="C186" s="15">
        <v>4.4480000000000004</v>
      </c>
      <c r="D186" s="16">
        <f t="shared" si="4"/>
        <v>2.0000000000000018</v>
      </c>
      <c r="E186" s="16">
        <f t="shared" si="5"/>
        <v>4.7000000000000597</v>
      </c>
    </row>
    <row r="187" spans="1:5" x14ac:dyDescent="0.2">
      <c r="A187" s="14">
        <v>45825</v>
      </c>
      <c r="B187" s="15">
        <v>3.9540000000000002</v>
      </c>
      <c r="C187" s="15">
        <v>4.391</v>
      </c>
      <c r="D187" s="16">
        <f t="shared" si="4"/>
        <v>-1.499999999999968</v>
      </c>
      <c r="E187" s="16">
        <f t="shared" si="5"/>
        <v>-5.7000000000000384</v>
      </c>
    </row>
    <row r="188" spans="1:5" x14ac:dyDescent="0.2">
      <c r="A188" s="14">
        <v>45826</v>
      </c>
      <c r="B188" s="15">
        <v>3.9430000000000001</v>
      </c>
      <c r="C188" s="15">
        <v>4.3929999999999998</v>
      </c>
      <c r="D188" s="16">
        <f t="shared" si="4"/>
        <v>-1.1000000000000121</v>
      </c>
      <c r="E188" s="16">
        <f t="shared" si="5"/>
        <v>0.19999999999997797</v>
      </c>
    </row>
    <row r="189" spans="1:5" x14ac:dyDescent="0.2">
      <c r="A189" s="14">
        <v>45827</v>
      </c>
      <c r="B189" s="15">
        <v>3.9430000000000001</v>
      </c>
      <c r="C189" s="15">
        <v>4.3929999999999998</v>
      </c>
      <c r="D189" s="16">
        <f t="shared" si="4"/>
        <v>0</v>
      </c>
      <c r="E189" s="16">
        <f t="shared" si="5"/>
        <v>0</v>
      </c>
    </row>
    <row r="190" spans="1:5" x14ac:dyDescent="0.2">
      <c r="A190" s="14">
        <v>45828</v>
      </c>
      <c r="B190" s="15">
        <v>3.9089999999999998</v>
      </c>
      <c r="C190" s="15">
        <v>4.3780000000000001</v>
      </c>
      <c r="D190" s="16">
        <f t="shared" si="4"/>
        <v>-3.4000000000000252</v>
      </c>
      <c r="E190" s="16">
        <f t="shared" si="5"/>
        <v>-1.499999999999968</v>
      </c>
    </row>
    <row r="191" spans="1:5" x14ac:dyDescent="0.2">
      <c r="A191" s="14">
        <v>45831</v>
      </c>
      <c r="B191" s="15">
        <v>3.8639999999999999</v>
      </c>
      <c r="C191" s="15">
        <v>4.3490000000000002</v>
      </c>
      <c r="D191" s="16">
        <f t="shared" si="4"/>
        <v>-4.4999999999999929</v>
      </c>
      <c r="E191" s="16">
        <f t="shared" si="5"/>
        <v>-2.8999999999999915</v>
      </c>
    </row>
    <row r="192" spans="1:5" x14ac:dyDescent="0.2">
      <c r="A192" s="14">
        <v>45832</v>
      </c>
      <c r="B192" s="15">
        <v>3.8260000000000001</v>
      </c>
      <c r="C192" s="15">
        <v>4.2960000000000003</v>
      </c>
      <c r="D192" s="16">
        <f t="shared" si="4"/>
        <v>-3.7999999999999812</v>
      </c>
      <c r="E192" s="16">
        <f t="shared" si="5"/>
        <v>-5.2999999999999936</v>
      </c>
    </row>
    <row r="193" spans="1:5" x14ac:dyDescent="0.2">
      <c r="A193" s="14">
        <v>45833</v>
      </c>
      <c r="B193" s="15">
        <v>3.7829999999999999</v>
      </c>
      <c r="C193" s="15">
        <v>4.2930000000000001</v>
      </c>
      <c r="D193" s="16">
        <f t="shared" si="4"/>
        <v>-4.3000000000000149</v>
      </c>
      <c r="E193" s="16">
        <f t="shared" si="5"/>
        <v>-0.30000000000001137</v>
      </c>
    </row>
    <row r="194" spans="1:5" x14ac:dyDescent="0.2">
      <c r="A194" s="14">
        <v>45834</v>
      </c>
      <c r="B194" s="15">
        <v>3.72</v>
      </c>
      <c r="C194" s="15">
        <v>4.2430000000000003</v>
      </c>
      <c r="D194" s="16">
        <f t="shared" si="4"/>
        <v>-6.2999999999999723</v>
      </c>
      <c r="E194" s="16">
        <f t="shared" si="5"/>
        <v>-4.9999999999999822</v>
      </c>
    </row>
    <row r="195" spans="1:5" x14ac:dyDescent="0.2">
      <c r="A195" s="14">
        <v>45835</v>
      </c>
      <c r="B195" s="15">
        <v>3.7490000000000001</v>
      </c>
      <c r="C195" s="15">
        <v>4.2789999999999999</v>
      </c>
      <c r="D195" s="16">
        <f t="shared" si="4"/>
        <v>2.8999999999999915</v>
      </c>
      <c r="E195" s="16">
        <f t="shared" si="5"/>
        <v>3.5999999999999588</v>
      </c>
    </row>
    <row r="196" spans="1:5" x14ac:dyDescent="0.2">
      <c r="A196" s="14">
        <v>45838</v>
      </c>
      <c r="B196" s="15">
        <v>3.7210000000000001</v>
      </c>
      <c r="C196" s="15">
        <v>4.2300000000000004</v>
      </c>
      <c r="D196" s="16">
        <f t="shared" ref="D196:D259" si="6">100*(B196-B195)</f>
        <v>-2.8000000000000025</v>
      </c>
      <c r="E196" s="16">
        <f t="shared" ref="E196:E259" si="7">100*(C196-C195)</f>
        <v>-4.8999999999999488</v>
      </c>
    </row>
    <row r="197" spans="1:5" x14ac:dyDescent="0.2">
      <c r="A197" s="14">
        <v>45839</v>
      </c>
      <c r="B197" s="15">
        <v>3.7730000000000001</v>
      </c>
      <c r="C197" s="15">
        <v>4.2430000000000003</v>
      </c>
      <c r="D197" s="16">
        <f t="shared" si="6"/>
        <v>5.2000000000000046</v>
      </c>
      <c r="E197" s="16">
        <f t="shared" si="7"/>
        <v>1.2999999999999901</v>
      </c>
    </row>
    <row r="198" spans="1:5" x14ac:dyDescent="0.2">
      <c r="A198" s="14">
        <v>45840</v>
      </c>
      <c r="B198" s="15">
        <v>3.786</v>
      </c>
      <c r="C198" s="15">
        <v>4.2789999999999999</v>
      </c>
      <c r="D198" s="16">
        <f t="shared" si="6"/>
        <v>1.2999999999999901</v>
      </c>
      <c r="E198" s="16">
        <f t="shared" si="7"/>
        <v>3.5999999999999588</v>
      </c>
    </row>
    <row r="199" spans="1:5" x14ac:dyDescent="0.2">
      <c r="A199" s="14">
        <v>45841</v>
      </c>
      <c r="B199" s="15">
        <v>3.883</v>
      </c>
      <c r="C199" s="15">
        <v>4.3479999999999999</v>
      </c>
      <c r="D199" s="16">
        <f t="shared" si="6"/>
        <v>9.6999999999999975</v>
      </c>
      <c r="E199" s="16">
        <f t="shared" si="7"/>
        <v>6.899999999999995</v>
      </c>
    </row>
    <row r="200" spans="1:5" x14ac:dyDescent="0.2">
      <c r="A200" s="14">
        <v>45842</v>
      </c>
      <c r="B200" s="15">
        <v>3.883</v>
      </c>
      <c r="C200" s="15">
        <v>4.3479999999999999</v>
      </c>
      <c r="D200" s="16">
        <f t="shared" si="6"/>
        <v>0</v>
      </c>
      <c r="E200" s="16">
        <f t="shared" si="7"/>
        <v>0</v>
      </c>
    </row>
    <row r="201" spans="1:5" x14ac:dyDescent="0.2">
      <c r="A201" s="14">
        <v>45845</v>
      </c>
      <c r="B201" s="15">
        <v>3.8959999999999999</v>
      </c>
      <c r="C201" s="15">
        <v>4.3810000000000002</v>
      </c>
      <c r="D201" s="16">
        <f t="shared" si="6"/>
        <v>1.2999999999999901</v>
      </c>
      <c r="E201" s="16">
        <f t="shared" si="7"/>
        <v>3.3000000000000362</v>
      </c>
    </row>
    <row r="202" spans="1:5" x14ac:dyDescent="0.2">
      <c r="A202" s="14">
        <v>45846</v>
      </c>
      <c r="B202" s="15">
        <v>3.8929999999999998</v>
      </c>
      <c r="C202" s="15">
        <v>4.4009999999999998</v>
      </c>
      <c r="D202" s="16">
        <f t="shared" si="6"/>
        <v>-0.30000000000001137</v>
      </c>
      <c r="E202" s="16">
        <f t="shared" si="7"/>
        <v>1.9999999999999574</v>
      </c>
    </row>
    <row r="203" spans="1:5" x14ac:dyDescent="0.2">
      <c r="A203" s="14">
        <v>45847</v>
      </c>
      <c r="B203" s="15">
        <v>3.8450000000000002</v>
      </c>
      <c r="C203" s="15">
        <v>4.3330000000000002</v>
      </c>
      <c r="D203" s="16">
        <f t="shared" si="6"/>
        <v>-4.7999999999999599</v>
      </c>
      <c r="E203" s="16">
        <f t="shared" si="7"/>
        <v>-6.7999999999999616</v>
      </c>
    </row>
    <row r="204" spans="1:5" x14ac:dyDescent="0.2">
      <c r="A204" s="14">
        <v>45848</v>
      </c>
      <c r="B204" s="15">
        <v>3.8730000000000002</v>
      </c>
      <c r="C204" s="15">
        <v>4.351</v>
      </c>
      <c r="D204" s="16">
        <f t="shared" si="6"/>
        <v>2.8000000000000025</v>
      </c>
      <c r="E204" s="16">
        <f t="shared" si="7"/>
        <v>1.7999999999999794</v>
      </c>
    </row>
    <row r="205" spans="1:5" x14ac:dyDescent="0.2">
      <c r="A205" s="14">
        <v>45849</v>
      </c>
      <c r="B205" s="15">
        <v>3.887</v>
      </c>
      <c r="C205" s="15">
        <v>4.4109999999999996</v>
      </c>
      <c r="D205" s="16">
        <f t="shared" si="6"/>
        <v>1.399999999999979</v>
      </c>
      <c r="E205" s="16">
        <f t="shared" si="7"/>
        <v>5.9999999999999609</v>
      </c>
    </row>
    <row r="206" spans="1:5" x14ac:dyDescent="0.2">
      <c r="A206" s="14">
        <v>45852</v>
      </c>
      <c r="B206" s="15">
        <v>3.9009999999999998</v>
      </c>
      <c r="C206" s="15">
        <v>4.4349999999999996</v>
      </c>
      <c r="D206" s="16">
        <f t="shared" si="6"/>
        <v>1.399999999999979</v>
      </c>
      <c r="E206" s="16">
        <f t="shared" si="7"/>
        <v>2.4000000000000021</v>
      </c>
    </row>
    <row r="207" spans="1:5" x14ac:dyDescent="0.2">
      <c r="A207" s="14">
        <v>45853</v>
      </c>
      <c r="B207" s="15">
        <v>3.9420000000000002</v>
      </c>
      <c r="C207" s="15">
        <v>4.4829999999999997</v>
      </c>
      <c r="D207" s="16">
        <f t="shared" si="6"/>
        <v>4.1000000000000369</v>
      </c>
      <c r="E207" s="16">
        <f t="shared" si="7"/>
        <v>4.8000000000000043</v>
      </c>
    </row>
    <row r="208" spans="1:5" x14ac:dyDescent="0.2">
      <c r="A208" s="14">
        <v>45854</v>
      </c>
      <c r="B208" s="15">
        <v>3.8940000000000001</v>
      </c>
      <c r="C208" s="15">
        <v>4.4569999999999999</v>
      </c>
      <c r="D208" s="16">
        <f t="shared" si="6"/>
        <v>-4.8000000000000043</v>
      </c>
      <c r="E208" s="16">
        <f t="shared" si="7"/>
        <v>-2.5999999999999801</v>
      </c>
    </row>
    <row r="209" spans="1:5" x14ac:dyDescent="0.2">
      <c r="A209" s="14">
        <v>45855</v>
      </c>
      <c r="B209" s="15">
        <v>3.9060000000000001</v>
      </c>
      <c r="C209" s="15">
        <v>4.4530000000000003</v>
      </c>
      <c r="D209" s="16">
        <f t="shared" si="6"/>
        <v>1.2000000000000011</v>
      </c>
      <c r="E209" s="16">
        <f t="shared" si="7"/>
        <v>-0.39999999999995595</v>
      </c>
    </row>
    <row r="210" spans="1:5" x14ac:dyDescent="0.2">
      <c r="A210" s="14">
        <v>45856</v>
      </c>
      <c r="B210" s="15">
        <v>3.871</v>
      </c>
      <c r="C210" s="15">
        <v>4.4180000000000001</v>
      </c>
      <c r="D210" s="16">
        <f t="shared" si="6"/>
        <v>-3.5000000000000142</v>
      </c>
      <c r="E210" s="16">
        <f t="shared" si="7"/>
        <v>-3.5000000000000142</v>
      </c>
    </row>
    <row r="211" spans="1:5" x14ac:dyDescent="0.2">
      <c r="A211" s="14">
        <v>45859</v>
      </c>
      <c r="B211" s="15">
        <v>3.8620000000000001</v>
      </c>
      <c r="C211" s="15">
        <v>4.3789999999999996</v>
      </c>
      <c r="D211" s="16">
        <f t="shared" si="6"/>
        <v>-0.8999999999999897</v>
      </c>
      <c r="E211" s="16">
        <f t="shared" si="7"/>
        <v>-3.900000000000059</v>
      </c>
    </row>
    <row r="212" spans="1:5" x14ac:dyDescent="0.2">
      <c r="A212" s="14">
        <v>45860</v>
      </c>
      <c r="B212" s="15">
        <v>3.8340000000000001</v>
      </c>
      <c r="C212" s="15">
        <v>4.3460000000000001</v>
      </c>
      <c r="D212" s="16">
        <f t="shared" si="6"/>
        <v>-2.8000000000000025</v>
      </c>
      <c r="E212" s="16">
        <f t="shared" si="7"/>
        <v>-3.2999999999999474</v>
      </c>
    </row>
    <row r="213" spans="1:5" x14ac:dyDescent="0.2">
      <c r="A213" s="14">
        <v>45861</v>
      </c>
      <c r="B213" s="15">
        <v>3.8809999999999998</v>
      </c>
      <c r="C213" s="15">
        <v>4.383</v>
      </c>
      <c r="D213" s="16">
        <f t="shared" si="6"/>
        <v>4.6999999999999709</v>
      </c>
      <c r="E213" s="16">
        <f t="shared" si="7"/>
        <v>3.6999999999999922</v>
      </c>
    </row>
    <row r="214" spans="1:5" x14ac:dyDescent="0.2">
      <c r="A214" s="14">
        <v>45862</v>
      </c>
      <c r="B214" s="15">
        <v>3.9169999999999998</v>
      </c>
      <c r="C214" s="15">
        <v>4.3979999999999997</v>
      </c>
      <c r="D214" s="16">
        <f t="shared" si="6"/>
        <v>3.6000000000000032</v>
      </c>
      <c r="E214" s="16">
        <f t="shared" si="7"/>
        <v>1.499999999999968</v>
      </c>
    </row>
    <row r="215" spans="1:5" x14ac:dyDescent="0.2">
      <c r="A215" s="14">
        <v>45863</v>
      </c>
      <c r="B215" s="15">
        <v>3.9249999999999998</v>
      </c>
      <c r="C215" s="15">
        <v>4.3899999999999997</v>
      </c>
      <c r="D215" s="16">
        <f t="shared" si="6"/>
        <v>0.80000000000000071</v>
      </c>
      <c r="E215" s="16">
        <f t="shared" si="7"/>
        <v>-0.80000000000000071</v>
      </c>
    </row>
    <row r="216" spans="1:5" x14ac:dyDescent="0.2">
      <c r="A216" s="14">
        <v>45866</v>
      </c>
      <c r="B216" s="15">
        <v>3.9279999999999999</v>
      </c>
      <c r="C216" s="15">
        <v>4.4119999999999999</v>
      </c>
      <c r="D216" s="16">
        <f t="shared" si="6"/>
        <v>0.30000000000001137</v>
      </c>
      <c r="E216" s="16">
        <f t="shared" si="7"/>
        <v>2.2000000000000242</v>
      </c>
    </row>
    <row r="217" spans="1:5" x14ac:dyDescent="0.2">
      <c r="A217" s="14">
        <v>45867</v>
      </c>
      <c r="B217" s="15">
        <v>3.87</v>
      </c>
      <c r="C217" s="15">
        <v>4.3209999999999997</v>
      </c>
      <c r="D217" s="16">
        <f t="shared" si="6"/>
        <v>-5.7999999999999829</v>
      </c>
      <c r="E217" s="16">
        <f t="shared" si="7"/>
        <v>-9.1000000000000192</v>
      </c>
    </row>
    <row r="218" spans="1:5" x14ac:dyDescent="0.2">
      <c r="A218" s="14">
        <v>45868</v>
      </c>
      <c r="B218" s="15">
        <v>3.9430000000000001</v>
      </c>
      <c r="C218" s="15">
        <v>4.3719999999999999</v>
      </c>
      <c r="D218" s="16">
        <f t="shared" si="6"/>
        <v>7.2999999999999954</v>
      </c>
      <c r="E218" s="16">
        <f t="shared" si="7"/>
        <v>5.1000000000000156</v>
      </c>
    </row>
    <row r="219" spans="1:5" x14ac:dyDescent="0.2">
      <c r="A219" s="14">
        <v>45869</v>
      </c>
      <c r="B219" s="15">
        <v>3.9580000000000002</v>
      </c>
      <c r="C219" s="15">
        <v>4.3760000000000003</v>
      </c>
      <c r="D219" s="16">
        <f t="shared" si="6"/>
        <v>1.5000000000000124</v>
      </c>
      <c r="E219" s="16">
        <f t="shared" si="7"/>
        <v>0.40000000000004476</v>
      </c>
    </row>
    <row r="220" spans="1:5" x14ac:dyDescent="0.2">
      <c r="A220" s="14">
        <v>45870</v>
      </c>
      <c r="B220" s="15">
        <v>3.6840000000000002</v>
      </c>
      <c r="C220" s="15">
        <v>4.218</v>
      </c>
      <c r="D220" s="16">
        <f t="shared" si="6"/>
        <v>-27.400000000000002</v>
      </c>
      <c r="E220" s="16">
        <f t="shared" si="7"/>
        <v>-15.800000000000036</v>
      </c>
    </row>
    <row r="221" spans="1:5" x14ac:dyDescent="0.2">
      <c r="A221" s="14">
        <v>45873</v>
      </c>
      <c r="B221" s="15">
        <v>3.6760000000000002</v>
      </c>
      <c r="C221" s="15">
        <v>4.194</v>
      </c>
      <c r="D221" s="16">
        <f t="shared" si="6"/>
        <v>-0.80000000000000071</v>
      </c>
      <c r="E221" s="16">
        <f t="shared" si="7"/>
        <v>-2.4000000000000021</v>
      </c>
    </row>
    <row r="222" spans="1:5" x14ac:dyDescent="0.2">
      <c r="A222" s="14">
        <v>45874</v>
      </c>
      <c r="B222" s="15">
        <v>3.7250000000000001</v>
      </c>
      <c r="C222" s="15">
        <v>4.2119999999999997</v>
      </c>
      <c r="D222" s="16">
        <f t="shared" si="6"/>
        <v>4.8999999999999932</v>
      </c>
      <c r="E222" s="16">
        <f t="shared" si="7"/>
        <v>1.7999999999999794</v>
      </c>
    </row>
    <row r="223" spans="1:5" x14ac:dyDescent="0.2">
      <c r="A223" s="14">
        <v>45875</v>
      </c>
      <c r="B223" s="15">
        <v>3.7149999999999999</v>
      </c>
      <c r="C223" s="15">
        <v>4.2290000000000001</v>
      </c>
      <c r="D223" s="16">
        <f t="shared" si="6"/>
        <v>-1.0000000000000231</v>
      </c>
      <c r="E223" s="16">
        <f t="shared" si="7"/>
        <v>1.7000000000000348</v>
      </c>
    </row>
    <row r="224" spans="1:5" x14ac:dyDescent="0.2">
      <c r="A224" s="14">
        <v>45876</v>
      </c>
      <c r="B224" s="15">
        <v>3.73</v>
      </c>
      <c r="C224" s="15">
        <v>4.2510000000000003</v>
      </c>
      <c r="D224" s="16">
        <f t="shared" si="6"/>
        <v>1.5000000000000124</v>
      </c>
      <c r="E224" s="16">
        <f t="shared" si="7"/>
        <v>2.2000000000000242</v>
      </c>
    </row>
    <row r="225" spans="1:5" x14ac:dyDescent="0.2">
      <c r="A225" s="14">
        <v>45877</v>
      </c>
      <c r="B225" s="15">
        <v>3.7639999999999998</v>
      </c>
      <c r="C225" s="15">
        <v>4.2839999999999998</v>
      </c>
      <c r="D225" s="16">
        <f t="shared" si="6"/>
        <v>3.3999999999999808</v>
      </c>
      <c r="E225" s="16">
        <f t="shared" si="7"/>
        <v>3.2999999999999474</v>
      </c>
    </row>
    <row r="226" spans="1:5" x14ac:dyDescent="0.2">
      <c r="A226" s="14">
        <v>45880</v>
      </c>
      <c r="B226" s="15">
        <v>3.7690000000000001</v>
      </c>
      <c r="C226" s="15">
        <v>4.2869999999999999</v>
      </c>
      <c r="D226" s="16">
        <f t="shared" si="6"/>
        <v>0.50000000000003375</v>
      </c>
      <c r="E226" s="16">
        <f t="shared" si="7"/>
        <v>0.30000000000001137</v>
      </c>
    </row>
    <row r="227" spans="1:5" x14ac:dyDescent="0.2">
      <c r="A227" s="14">
        <v>45881</v>
      </c>
      <c r="B227" s="15">
        <v>3.7320000000000002</v>
      </c>
      <c r="C227" s="15">
        <v>4.2910000000000004</v>
      </c>
      <c r="D227" s="16">
        <f t="shared" si="6"/>
        <v>-3.6999999999999922</v>
      </c>
      <c r="E227" s="16">
        <f t="shared" si="7"/>
        <v>0.40000000000004476</v>
      </c>
    </row>
    <row r="228" spans="1:5" x14ac:dyDescent="0.2">
      <c r="A228" s="14">
        <v>45882</v>
      </c>
      <c r="B228" s="15">
        <v>3.6760000000000002</v>
      </c>
      <c r="C228" s="15">
        <v>4.2350000000000003</v>
      </c>
      <c r="D228" s="16">
        <f t="shared" si="6"/>
        <v>-5.600000000000005</v>
      </c>
      <c r="E228" s="16">
        <f t="shared" si="7"/>
        <v>-5.600000000000005</v>
      </c>
    </row>
    <row r="229" spans="1:5" x14ac:dyDescent="0.2">
      <c r="A229" s="14">
        <v>45883</v>
      </c>
      <c r="B229" s="15">
        <v>3.7330000000000001</v>
      </c>
      <c r="C229" s="15">
        <v>4.2859999999999996</v>
      </c>
      <c r="D229" s="16">
        <f t="shared" si="6"/>
        <v>5.699999999999994</v>
      </c>
      <c r="E229" s="16">
        <f t="shared" si="7"/>
        <v>5.0999999999999268</v>
      </c>
    </row>
    <row r="230" spans="1:5" x14ac:dyDescent="0.2">
      <c r="A230" s="14">
        <v>45884</v>
      </c>
      <c r="B230" s="15">
        <v>3.7519999999999998</v>
      </c>
      <c r="C230" s="15">
        <v>4.319</v>
      </c>
      <c r="D230" s="16">
        <f t="shared" si="6"/>
        <v>1.8999999999999684</v>
      </c>
      <c r="E230" s="16">
        <f t="shared" si="7"/>
        <v>3.3000000000000362</v>
      </c>
    </row>
    <row r="231" spans="1:5" x14ac:dyDescent="0.2">
      <c r="A231" s="14">
        <v>45887</v>
      </c>
      <c r="B231" s="15">
        <v>3.7650000000000001</v>
      </c>
      <c r="C231" s="15">
        <v>4.3339999999999996</v>
      </c>
      <c r="D231" s="16">
        <f t="shared" si="6"/>
        <v>1.3000000000000345</v>
      </c>
      <c r="E231" s="16">
        <f t="shared" si="7"/>
        <v>1.499999999999968</v>
      </c>
    </row>
    <row r="232" spans="1:5" x14ac:dyDescent="0.2">
      <c r="A232" s="14">
        <v>45888</v>
      </c>
      <c r="B232" s="15">
        <v>3.7490000000000001</v>
      </c>
      <c r="C232" s="15">
        <v>4.3070000000000004</v>
      </c>
      <c r="D232" s="16">
        <f t="shared" si="6"/>
        <v>-1.6000000000000014</v>
      </c>
      <c r="E232" s="16">
        <f t="shared" si="7"/>
        <v>-2.6999999999999247</v>
      </c>
    </row>
    <row r="233" spans="1:5" x14ac:dyDescent="0.2">
      <c r="A233" s="14">
        <v>45889</v>
      </c>
      <c r="B233" s="15">
        <v>3.7490000000000001</v>
      </c>
      <c r="C233" s="15">
        <v>4.2919999999999998</v>
      </c>
      <c r="D233" s="16">
        <f t="shared" si="6"/>
        <v>0</v>
      </c>
      <c r="E233" s="16">
        <f t="shared" si="7"/>
        <v>-1.5000000000000568</v>
      </c>
    </row>
    <row r="234" spans="1:5" x14ac:dyDescent="0.2">
      <c r="A234" s="14">
        <v>45890</v>
      </c>
      <c r="B234" s="15">
        <v>3.794</v>
      </c>
      <c r="C234" s="15">
        <v>4.3289999999999997</v>
      </c>
      <c r="D234" s="16">
        <f t="shared" si="6"/>
        <v>4.4999999999999929</v>
      </c>
      <c r="E234" s="16">
        <f t="shared" si="7"/>
        <v>3.6999999999999922</v>
      </c>
    </row>
    <row r="235" spans="1:5" x14ac:dyDescent="0.2">
      <c r="A235" s="14">
        <v>45891</v>
      </c>
      <c r="B235" s="15">
        <v>3.6970000000000001</v>
      </c>
      <c r="C235" s="15">
        <v>4.2549999999999999</v>
      </c>
      <c r="D235" s="16">
        <f t="shared" si="6"/>
        <v>-9.6999999999999975</v>
      </c>
      <c r="E235" s="16">
        <f t="shared" si="7"/>
        <v>-7.3999999999999844</v>
      </c>
    </row>
    <row r="236" spans="1:5" x14ac:dyDescent="0.2">
      <c r="A236" s="14">
        <v>45894</v>
      </c>
      <c r="B236" s="15">
        <v>3.7250000000000001</v>
      </c>
      <c r="C236" s="15">
        <v>4.2759999999999998</v>
      </c>
      <c r="D236" s="16">
        <f t="shared" si="6"/>
        <v>2.8000000000000025</v>
      </c>
      <c r="E236" s="16">
        <f t="shared" si="7"/>
        <v>2.0999999999999908</v>
      </c>
    </row>
    <row r="237" spans="1:5" x14ac:dyDescent="0.2">
      <c r="A237" s="14">
        <v>45895</v>
      </c>
      <c r="B237" s="15">
        <v>3.68</v>
      </c>
      <c r="C237" s="15">
        <v>4.2619999999999996</v>
      </c>
      <c r="D237" s="16">
        <f t="shared" si="6"/>
        <v>-4.4999999999999929</v>
      </c>
      <c r="E237" s="16">
        <f t="shared" si="7"/>
        <v>-1.4000000000000234</v>
      </c>
    </row>
    <row r="238" spans="1:5" x14ac:dyDescent="0.2">
      <c r="A238" s="14">
        <v>45896</v>
      </c>
      <c r="B238" s="15">
        <v>3.6110000000000002</v>
      </c>
      <c r="C238" s="15">
        <v>4.2350000000000003</v>
      </c>
      <c r="D238" s="16">
        <f t="shared" si="6"/>
        <v>-6.899999999999995</v>
      </c>
      <c r="E238" s="16">
        <f t="shared" si="7"/>
        <v>-2.6999999999999247</v>
      </c>
    </row>
    <row r="239" spans="1:5" x14ac:dyDescent="0.2">
      <c r="A239" s="14">
        <v>45897</v>
      </c>
      <c r="B239" s="15">
        <v>3.6309999999999998</v>
      </c>
      <c r="C239" s="15">
        <v>4.2050000000000001</v>
      </c>
      <c r="D239" s="16">
        <f t="shared" si="6"/>
        <v>1.9999999999999574</v>
      </c>
      <c r="E239" s="16">
        <f t="shared" si="7"/>
        <v>-3.0000000000000249</v>
      </c>
    </row>
    <row r="240" spans="1:5" x14ac:dyDescent="0.2">
      <c r="A240" s="14">
        <v>45898</v>
      </c>
      <c r="B240" s="15">
        <v>3.6179999999999999</v>
      </c>
      <c r="C240" s="15">
        <v>4.2300000000000004</v>
      </c>
      <c r="D240" s="16">
        <f t="shared" si="6"/>
        <v>-1.2999999999999901</v>
      </c>
      <c r="E240" s="16">
        <f t="shared" si="7"/>
        <v>2.5000000000000355</v>
      </c>
    </row>
    <row r="241" spans="1:5" x14ac:dyDescent="0.2">
      <c r="A241" s="14">
        <v>45901</v>
      </c>
      <c r="B241" s="15">
        <v>3.6179999999999999</v>
      </c>
      <c r="C241" s="15">
        <v>4.2300000000000004</v>
      </c>
      <c r="D241" s="16">
        <f t="shared" si="6"/>
        <v>0</v>
      </c>
      <c r="E241" s="16">
        <f t="shared" si="7"/>
        <v>0</v>
      </c>
    </row>
    <row r="242" spans="1:5" x14ac:dyDescent="0.2">
      <c r="A242" s="14">
        <v>45902</v>
      </c>
      <c r="B242" s="15">
        <v>3.64</v>
      </c>
      <c r="C242" s="15">
        <v>4.2619999999999996</v>
      </c>
      <c r="D242" s="16">
        <f t="shared" si="6"/>
        <v>2.2000000000000242</v>
      </c>
      <c r="E242" s="16">
        <f t="shared" si="7"/>
        <v>3.199999999999914</v>
      </c>
    </row>
    <row r="243" spans="1:5" x14ac:dyDescent="0.2">
      <c r="A243" s="14">
        <v>45903</v>
      </c>
      <c r="B243" s="15">
        <v>3.6179999999999999</v>
      </c>
      <c r="C243" s="15">
        <v>4.218</v>
      </c>
      <c r="D243" s="16">
        <f t="shared" si="6"/>
        <v>-2.2000000000000242</v>
      </c>
      <c r="E243" s="16">
        <f t="shared" si="7"/>
        <v>-4.3999999999999595</v>
      </c>
    </row>
    <row r="244" spans="1:5" x14ac:dyDescent="0.2">
      <c r="A244" s="14">
        <v>45904</v>
      </c>
      <c r="B244" s="15">
        <v>3.589</v>
      </c>
      <c r="C244" s="15">
        <v>4.1619999999999999</v>
      </c>
      <c r="D244" s="16">
        <f t="shared" si="6"/>
        <v>-2.8999999999999915</v>
      </c>
      <c r="E244" s="16">
        <f t="shared" si="7"/>
        <v>-5.600000000000005</v>
      </c>
    </row>
    <row r="245" spans="1:5" x14ac:dyDescent="0.2">
      <c r="A245" s="14">
        <v>45905</v>
      </c>
      <c r="B245" s="15">
        <v>3.51</v>
      </c>
      <c r="C245" s="15">
        <v>4.0759999999999996</v>
      </c>
      <c r="D245" s="16">
        <f t="shared" si="6"/>
        <v>-7.9000000000000181</v>
      </c>
      <c r="E245" s="16">
        <f t="shared" si="7"/>
        <v>-8.6000000000000298</v>
      </c>
    </row>
    <row r="246" spans="1:5" x14ac:dyDescent="0.2">
      <c r="A246" s="14">
        <v>45908</v>
      </c>
      <c r="B246" s="15">
        <v>3.4870000000000001</v>
      </c>
      <c r="C246" s="15">
        <v>4.0410000000000004</v>
      </c>
      <c r="D246" s="16">
        <f t="shared" si="6"/>
        <v>-2.2999999999999687</v>
      </c>
      <c r="E246" s="16">
        <f t="shared" si="7"/>
        <v>-3.4999999999999254</v>
      </c>
    </row>
    <row r="247" spans="1:5" x14ac:dyDescent="0.2">
      <c r="A247" s="14">
        <v>45909</v>
      </c>
      <c r="B247" s="15">
        <v>3.5590000000000002</v>
      </c>
      <c r="C247" s="15">
        <v>4.0880000000000001</v>
      </c>
      <c r="D247" s="16">
        <f t="shared" si="6"/>
        <v>7.2000000000000064</v>
      </c>
      <c r="E247" s="16">
        <f t="shared" si="7"/>
        <v>4.6999999999999709</v>
      </c>
    </row>
    <row r="248" spans="1:5" x14ac:dyDescent="0.2">
      <c r="A248" s="14">
        <v>45910</v>
      </c>
      <c r="B248" s="15">
        <v>3.5449999999999999</v>
      </c>
      <c r="C248" s="15">
        <v>4.0469999999999997</v>
      </c>
      <c r="D248" s="16">
        <f t="shared" si="6"/>
        <v>-1.4000000000000234</v>
      </c>
      <c r="E248" s="16">
        <f t="shared" si="7"/>
        <v>-4.1000000000000369</v>
      </c>
    </row>
    <row r="249" spans="1:5" x14ac:dyDescent="0.2">
      <c r="A249" s="14">
        <v>45911</v>
      </c>
      <c r="B249" s="15">
        <v>3.544</v>
      </c>
      <c r="C249" s="15">
        <v>4.0220000000000002</v>
      </c>
      <c r="D249" s="16">
        <f t="shared" si="6"/>
        <v>-9.9999999999988987E-2</v>
      </c>
      <c r="E249" s="16">
        <f t="shared" si="7"/>
        <v>-2.4999999999999467</v>
      </c>
    </row>
    <row r="250" spans="1:5" x14ac:dyDescent="0.2">
      <c r="A250" s="14">
        <v>45912</v>
      </c>
      <c r="B250" s="15">
        <v>3.5579999999999998</v>
      </c>
      <c r="C250" s="15">
        <v>4.0670000000000002</v>
      </c>
      <c r="D250" s="16">
        <f t="shared" si="6"/>
        <v>1.399999999999979</v>
      </c>
      <c r="E250" s="16">
        <f t="shared" si="7"/>
        <v>4.4999999999999929</v>
      </c>
    </row>
    <row r="251" spans="1:5" x14ac:dyDescent="0.2">
      <c r="A251" s="14">
        <v>45915</v>
      </c>
      <c r="B251" s="15">
        <v>3.5390000000000001</v>
      </c>
      <c r="C251" s="15">
        <v>4.0389999999999997</v>
      </c>
      <c r="D251" s="16">
        <f t="shared" si="6"/>
        <v>-1.8999999999999684</v>
      </c>
      <c r="E251" s="16">
        <f t="shared" si="7"/>
        <v>-2.8000000000000469</v>
      </c>
    </row>
    <row r="252" spans="1:5" x14ac:dyDescent="0.2">
      <c r="A252" s="14">
        <v>45916</v>
      </c>
      <c r="B252" s="15">
        <v>3.504</v>
      </c>
      <c r="C252" s="15">
        <v>4.0289999999999999</v>
      </c>
      <c r="D252" s="16">
        <f t="shared" si="6"/>
        <v>-3.5000000000000142</v>
      </c>
      <c r="E252" s="16">
        <f t="shared" si="7"/>
        <v>-0.99999999999997868</v>
      </c>
    </row>
    <row r="253" spans="1:5" x14ac:dyDescent="0.2">
      <c r="A253" s="14">
        <v>45917</v>
      </c>
      <c r="B253" s="15">
        <v>3.5539999999999998</v>
      </c>
      <c r="C253" s="15">
        <v>4.0890000000000004</v>
      </c>
      <c r="D253" s="16">
        <f t="shared" si="6"/>
        <v>4.9999999999999822</v>
      </c>
      <c r="E253" s="16">
        <f t="shared" si="7"/>
        <v>6.0000000000000497</v>
      </c>
    </row>
    <row r="254" spans="1:5" x14ac:dyDescent="0.2">
      <c r="A254" s="14">
        <v>45918</v>
      </c>
      <c r="B254" s="15">
        <v>3.5649999999999999</v>
      </c>
      <c r="C254" s="15">
        <v>4.1059999999999999</v>
      </c>
      <c r="D254" s="16">
        <f t="shared" si="6"/>
        <v>1.1000000000000121</v>
      </c>
      <c r="E254" s="16">
        <f t="shared" si="7"/>
        <v>1.699999999999946</v>
      </c>
    </row>
    <row r="255" spans="1:5" x14ac:dyDescent="0.2">
      <c r="A255" s="14">
        <v>45919</v>
      </c>
      <c r="B255" s="15">
        <v>3.573</v>
      </c>
      <c r="C255" s="15">
        <v>4.1280000000000001</v>
      </c>
      <c r="D255" s="16">
        <f t="shared" si="6"/>
        <v>0.80000000000000071</v>
      </c>
      <c r="E255" s="16">
        <f t="shared" si="7"/>
        <v>2.2000000000000242</v>
      </c>
    </row>
    <row r="256" spans="1:5" x14ac:dyDescent="0.2">
      <c r="A256" s="14">
        <v>45922</v>
      </c>
      <c r="B256" s="15">
        <v>3.6040000000000001</v>
      </c>
      <c r="C256" s="15">
        <v>4.1479999999999997</v>
      </c>
      <c r="D256" s="16">
        <f t="shared" si="6"/>
        <v>3.1000000000000139</v>
      </c>
      <c r="E256" s="16">
        <f t="shared" si="7"/>
        <v>1.9999999999999574</v>
      </c>
    </row>
    <row r="257" spans="1:5" x14ac:dyDescent="0.2">
      <c r="A257" s="14">
        <v>45923</v>
      </c>
      <c r="B257" s="15">
        <v>3.5870000000000002</v>
      </c>
      <c r="C257" s="15">
        <v>4.1070000000000002</v>
      </c>
      <c r="D257" s="16">
        <f t="shared" si="6"/>
        <v>-1.6999999999999904</v>
      </c>
      <c r="E257" s="16">
        <f t="shared" si="7"/>
        <v>-4.0999999999999481</v>
      </c>
    </row>
    <row r="258" spans="1:5" x14ac:dyDescent="0.2">
      <c r="A258" s="14">
        <v>45924</v>
      </c>
      <c r="B258" s="15">
        <v>3.605</v>
      </c>
      <c r="C258" s="15">
        <v>4.1479999999999997</v>
      </c>
      <c r="D258" s="16">
        <f t="shared" si="6"/>
        <v>1.7999999999999794</v>
      </c>
      <c r="E258" s="16">
        <f t="shared" si="7"/>
        <v>4.0999999999999481</v>
      </c>
    </row>
    <row r="259" spans="1:5" x14ac:dyDescent="0.2">
      <c r="A259" s="14">
        <v>45925</v>
      </c>
      <c r="B259" s="15">
        <v>3.6560000000000001</v>
      </c>
      <c r="C259" s="15">
        <v>4.1710000000000003</v>
      </c>
      <c r="D259" s="16">
        <f t="shared" si="6"/>
        <v>5.1000000000000156</v>
      </c>
      <c r="E259" s="16">
        <f t="shared" si="7"/>
        <v>2.3000000000000576</v>
      </c>
    </row>
    <row r="260" spans="1:5" x14ac:dyDescent="0.2">
      <c r="A260" s="14">
        <v>45926</v>
      </c>
      <c r="B260" s="15">
        <v>3.6440000000000001</v>
      </c>
      <c r="C260" s="15">
        <v>4.1760000000000002</v>
      </c>
      <c r="D260" s="16">
        <f t="shared" ref="D260:D323" si="8">100*(B260-B259)</f>
        <v>-1.2000000000000011</v>
      </c>
      <c r="E260" s="16">
        <f t="shared" ref="E260:E323" si="9">100*(C260-C259)</f>
        <v>0.49999999999998934</v>
      </c>
    </row>
    <row r="261" spans="1:5" x14ac:dyDescent="0.2">
      <c r="A261" s="14">
        <v>45929</v>
      </c>
      <c r="B261" s="15">
        <v>3.6219999999999999</v>
      </c>
      <c r="C261" s="15">
        <v>4.1399999999999997</v>
      </c>
      <c r="D261" s="16">
        <f t="shared" si="8"/>
        <v>-2.2000000000000242</v>
      </c>
      <c r="E261" s="16">
        <f t="shared" si="9"/>
        <v>-3.6000000000000476</v>
      </c>
    </row>
    <row r="262" spans="1:5" x14ac:dyDescent="0.2">
      <c r="A262" s="14">
        <v>45930</v>
      </c>
      <c r="B262" s="15">
        <v>3.609</v>
      </c>
      <c r="C262" s="15">
        <v>4.1509999999999998</v>
      </c>
      <c r="D262" s="16">
        <f t="shared" si="8"/>
        <v>-1.2999999999999901</v>
      </c>
      <c r="E262" s="16">
        <f t="shared" si="9"/>
        <v>1.1000000000000121</v>
      </c>
    </row>
    <row r="263" spans="1:5" x14ac:dyDescent="0.2">
      <c r="A263" s="14">
        <v>45931</v>
      </c>
      <c r="B263" s="15">
        <v>3.5369999999999999</v>
      </c>
      <c r="C263" s="15">
        <v>4.0990000000000002</v>
      </c>
      <c r="D263" s="16">
        <f t="shared" si="8"/>
        <v>-7.2000000000000064</v>
      </c>
      <c r="E263" s="16">
        <f t="shared" si="9"/>
        <v>-5.1999999999999602</v>
      </c>
    </row>
    <row r="264" spans="1:5" x14ac:dyDescent="0.2">
      <c r="A264" s="14">
        <v>45932</v>
      </c>
      <c r="B264" s="15">
        <v>3.54</v>
      </c>
      <c r="C264" s="15">
        <v>4.0839999999999996</v>
      </c>
      <c r="D264" s="16">
        <f t="shared" si="8"/>
        <v>0.30000000000001137</v>
      </c>
      <c r="E264" s="16">
        <f t="shared" si="9"/>
        <v>-1.5000000000000568</v>
      </c>
    </row>
    <row r="265" spans="1:5" x14ac:dyDescent="0.2">
      <c r="A265" s="14">
        <v>45933</v>
      </c>
      <c r="B265" s="15">
        <v>3.577</v>
      </c>
      <c r="C265" s="15">
        <v>4.12</v>
      </c>
      <c r="D265" s="16">
        <f t="shared" si="8"/>
        <v>3.6999999999999922</v>
      </c>
      <c r="E265" s="16">
        <f t="shared" si="9"/>
        <v>3.6000000000000476</v>
      </c>
    </row>
    <row r="266" spans="1:5" x14ac:dyDescent="0.2">
      <c r="A266" s="14">
        <v>45936</v>
      </c>
      <c r="B266" s="15">
        <v>3.589</v>
      </c>
      <c r="C266" s="15">
        <v>4.1539999999999999</v>
      </c>
      <c r="D266" s="16">
        <f t="shared" si="8"/>
        <v>1.2000000000000011</v>
      </c>
      <c r="E266" s="16">
        <f t="shared" si="9"/>
        <v>3.3999999999999808</v>
      </c>
    </row>
    <row r="267" spans="1:5" x14ac:dyDescent="0.2">
      <c r="A267" s="14">
        <v>45937</v>
      </c>
      <c r="B267" s="15">
        <v>3.5649999999999999</v>
      </c>
      <c r="C267" s="15">
        <v>4.1239999999999997</v>
      </c>
      <c r="D267" s="16">
        <f t="shared" si="8"/>
        <v>-2.4000000000000021</v>
      </c>
      <c r="E267" s="16">
        <f t="shared" si="9"/>
        <v>-3.0000000000000249</v>
      </c>
    </row>
    <row r="268" spans="1:5" x14ac:dyDescent="0.2">
      <c r="A268" s="14">
        <v>45938</v>
      </c>
      <c r="B268" s="15">
        <v>3.5819999999999999</v>
      </c>
      <c r="C268" s="15">
        <v>4.1189999999999998</v>
      </c>
      <c r="D268" s="16">
        <f t="shared" si="8"/>
        <v>1.6999999999999904</v>
      </c>
      <c r="E268" s="16">
        <f t="shared" si="9"/>
        <v>-0.49999999999998934</v>
      </c>
    </row>
    <row r="269" spans="1:5" x14ac:dyDescent="0.2">
      <c r="A269" s="14">
        <v>45939</v>
      </c>
      <c r="B269" s="15">
        <v>3.5939999999999999</v>
      </c>
      <c r="C269" s="15">
        <v>4.1390000000000002</v>
      </c>
      <c r="D269" s="16">
        <f t="shared" si="8"/>
        <v>1.2000000000000011</v>
      </c>
      <c r="E269" s="16">
        <f t="shared" si="9"/>
        <v>2.0000000000000462</v>
      </c>
    </row>
    <row r="270" spans="1:5" x14ac:dyDescent="0.2">
      <c r="A270" s="14">
        <v>45940</v>
      </c>
      <c r="B270" s="15">
        <v>3.5030000000000001</v>
      </c>
      <c r="C270" s="15">
        <v>4.0339999999999998</v>
      </c>
      <c r="D270" s="16">
        <f t="shared" si="8"/>
        <v>-9.0999999999999748</v>
      </c>
      <c r="E270" s="16">
        <f t="shared" si="9"/>
        <v>-10.500000000000043</v>
      </c>
    </row>
    <row r="271" spans="1:5" x14ac:dyDescent="0.2">
      <c r="A271" s="14">
        <v>45943</v>
      </c>
      <c r="B271" s="15">
        <v>3.5030000000000001</v>
      </c>
      <c r="C271" s="15">
        <v>4.0339999999999998</v>
      </c>
      <c r="D271" s="16">
        <f t="shared" si="8"/>
        <v>0</v>
      </c>
      <c r="E271" s="16">
        <f t="shared" si="9"/>
        <v>0</v>
      </c>
    </row>
    <row r="272" spans="1:5" x14ac:dyDescent="0.2">
      <c r="A272" s="14">
        <v>45944</v>
      </c>
      <c r="B272" s="15">
        <v>3.4820000000000002</v>
      </c>
      <c r="C272" s="15">
        <v>4.0330000000000004</v>
      </c>
      <c r="D272" s="16">
        <f t="shared" si="8"/>
        <v>-2.0999999999999908</v>
      </c>
      <c r="E272" s="16">
        <f t="shared" si="9"/>
        <v>-9.9999999999944578E-2</v>
      </c>
    </row>
    <row r="273" spans="1:5" x14ac:dyDescent="0.2">
      <c r="A273" s="14">
        <v>45945</v>
      </c>
      <c r="B273" s="15">
        <v>3.4980000000000002</v>
      </c>
      <c r="C273" s="15">
        <v>4.0289999999999999</v>
      </c>
      <c r="D273" s="16">
        <f t="shared" si="8"/>
        <v>1.6000000000000014</v>
      </c>
      <c r="E273" s="16">
        <f t="shared" si="9"/>
        <v>-0.40000000000004476</v>
      </c>
    </row>
    <row r="274" spans="1:5" x14ac:dyDescent="0.2">
      <c r="A274" s="14">
        <v>45946</v>
      </c>
      <c r="B274" s="15">
        <v>3.4249999999999998</v>
      </c>
      <c r="C274" s="15">
        <v>3.9750000000000001</v>
      </c>
      <c r="D274" s="16">
        <f t="shared" si="8"/>
        <v>-7.3000000000000398</v>
      </c>
      <c r="E274" s="16">
        <f t="shared" si="9"/>
        <v>-5.3999999999999826</v>
      </c>
    </row>
    <row r="275" spans="1:5" x14ac:dyDescent="0.2">
      <c r="A275" s="14">
        <v>45947</v>
      </c>
      <c r="B275" s="15">
        <v>3.4580000000000002</v>
      </c>
      <c r="C275" s="15">
        <v>4.01</v>
      </c>
      <c r="D275" s="16">
        <f t="shared" si="8"/>
        <v>3.3000000000000362</v>
      </c>
      <c r="E275" s="16">
        <f t="shared" si="9"/>
        <v>3.4999999999999698</v>
      </c>
    </row>
    <row r="276" spans="1:5" x14ac:dyDescent="0.2">
      <c r="A276" s="14">
        <v>45950</v>
      </c>
      <c r="B276" s="15">
        <v>3.456</v>
      </c>
      <c r="C276" s="15">
        <v>3.9809999999999999</v>
      </c>
      <c r="D276" s="16">
        <f t="shared" si="8"/>
        <v>-0.20000000000002238</v>
      </c>
      <c r="E276" s="16">
        <f t="shared" si="9"/>
        <v>-2.8999999999999915</v>
      </c>
    </row>
    <row r="277" spans="1:5" x14ac:dyDescent="0.2">
      <c r="A277" s="14">
        <v>45951</v>
      </c>
      <c r="B277" s="15">
        <v>3.456</v>
      </c>
      <c r="C277" s="15">
        <v>3.964</v>
      </c>
      <c r="D277" s="16">
        <f t="shared" si="8"/>
        <v>0</v>
      </c>
      <c r="E277" s="16">
        <f t="shared" si="9"/>
        <v>-1.6999999999999904</v>
      </c>
    </row>
    <row r="278" spans="1:5" x14ac:dyDescent="0.2">
      <c r="A278" s="14">
        <v>45952</v>
      </c>
      <c r="B278" s="15">
        <v>3.4460000000000002</v>
      </c>
      <c r="C278" s="15">
        <v>3.9510000000000001</v>
      </c>
      <c r="D278" s="16">
        <f t="shared" si="8"/>
        <v>-0.99999999999997868</v>
      </c>
      <c r="E278" s="16">
        <f t="shared" si="9"/>
        <v>-1.2999999999999901</v>
      </c>
    </row>
    <row r="279" spans="1:5" x14ac:dyDescent="0.2">
      <c r="A279" s="14">
        <v>45953</v>
      </c>
      <c r="B279" s="15">
        <v>3.492</v>
      </c>
      <c r="C279" s="15">
        <v>4.0019999999999998</v>
      </c>
      <c r="D279" s="16">
        <f t="shared" si="8"/>
        <v>4.5999999999999819</v>
      </c>
      <c r="E279" s="16">
        <f t="shared" si="9"/>
        <v>5.0999999999999712</v>
      </c>
    </row>
    <row r="280" spans="1:5" x14ac:dyDescent="0.2">
      <c r="A280" s="14">
        <v>45954</v>
      </c>
      <c r="B280" s="15">
        <v>3.4830000000000001</v>
      </c>
      <c r="C280" s="15">
        <v>4.0030000000000001</v>
      </c>
      <c r="D280" s="16">
        <f t="shared" si="8"/>
        <v>-0.8999999999999897</v>
      </c>
      <c r="E280" s="16">
        <f t="shared" si="9"/>
        <v>0.1000000000000334</v>
      </c>
    </row>
    <row r="281" spans="1:5" x14ac:dyDescent="0.2">
      <c r="A281" s="14">
        <v>45957</v>
      </c>
      <c r="B281" s="15">
        <v>3.4929999999999999</v>
      </c>
      <c r="C281" s="15">
        <v>3.9809999999999999</v>
      </c>
      <c r="D281" s="16">
        <f t="shared" si="8"/>
        <v>0.99999999999997868</v>
      </c>
      <c r="E281" s="16">
        <f t="shared" si="9"/>
        <v>-2.2000000000000242</v>
      </c>
    </row>
    <row r="282" spans="1:5" x14ac:dyDescent="0.2">
      <c r="A282" s="14">
        <v>45958</v>
      </c>
      <c r="B282" s="15">
        <v>3.4910000000000001</v>
      </c>
      <c r="C282" s="15">
        <v>3.9769999999999999</v>
      </c>
      <c r="D282" s="16">
        <f t="shared" si="8"/>
        <v>-0.19999999999997797</v>
      </c>
      <c r="E282" s="16">
        <f t="shared" si="9"/>
        <v>-0.40000000000000036</v>
      </c>
    </row>
    <row r="283" spans="1:5" x14ac:dyDescent="0.2">
      <c r="A283" s="14">
        <v>45959</v>
      </c>
      <c r="B283" s="15">
        <v>3.5990000000000002</v>
      </c>
      <c r="C283" s="15">
        <v>4.0780000000000003</v>
      </c>
      <c r="D283" s="16">
        <f t="shared" si="8"/>
        <v>10.80000000000001</v>
      </c>
      <c r="E283" s="16">
        <f t="shared" si="9"/>
        <v>10.100000000000042</v>
      </c>
    </row>
    <row r="284" spans="1:5" x14ac:dyDescent="0.2">
      <c r="A284" s="14">
        <v>45960</v>
      </c>
      <c r="B284" s="15">
        <v>3.61</v>
      </c>
      <c r="C284" s="15">
        <v>4.0990000000000002</v>
      </c>
      <c r="D284" s="16">
        <f t="shared" si="8"/>
        <v>1.0999999999999677</v>
      </c>
      <c r="E284" s="16">
        <f t="shared" si="9"/>
        <v>2.0999999999999908</v>
      </c>
    </row>
    <row r="285" spans="1:5" x14ac:dyDescent="0.2">
      <c r="A285" s="14">
        <v>45961</v>
      </c>
      <c r="B285" s="15">
        <v>3.5750000000000002</v>
      </c>
      <c r="C285" s="15">
        <v>4.0780000000000003</v>
      </c>
      <c r="D285" s="16">
        <f t="shared" si="8"/>
        <v>-3.4999999999999698</v>
      </c>
      <c r="E285" s="16">
        <f t="shared" si="9"/>
        <v>-2.0999999999999908</v>
      </c>
    </row>
    <row r="286" spans="1:5" x14ac:dyDescent="0.2">
      <c r="A286" s="14">
        <v>45964</v>
      </c>
      <c r="B286" s="15">
        <v>3.6059999999999999</v>
      </c>
      <c r="C286" s="15">
        <v>4.1109999999999998</v>
      </c>
      <c r="D286" s="16">
        <f t="shared" si="8"/>
        <v>3.0999999999999694</v>
      </c>
      <c r="E286" s="16">
        <f t="shared" si="9"/>
        <v>3.2999999999999474</v>
      </c>
    </row>
    <row r="287" spans="1:5" x14ac:dyDescent="0.2">
      <c r="A287" s="14">
        <v>45965</v>
      </c>
      <c r="B287" s="15">
        <v>3.577</v>
      </c>
      <c r="C287" s="15">
        <v>4.0860000000000003</v>
      </c>
      <c r="D287" s="16">
        <f t="shared" si="8"/>
        <v>-2.8999999999999915</v>
      </c>
      <c r="E287" s="16">
        <f t="shared" si="9"/>
        <v>-2.4999999999999467</v>
      </c>
    </row>
    <row r="288" spans="1:5" x14ac:dyDescent="0.2">
      <c r="A288" s="14">
        <v>45966</v>
      </c>
      <c r="B288" s="15">
        <v>3.6320000000000001</v>
      </c>
      <c r="C288" s="15">
        <v>4.16</v>
      </c>
      <c r="D288" s="16">
        <f t="shared" si="8"/>
        <v>5.500000000000016</v>
      </c>
      <c r="E288" s="16">
        <f t="shared" si="9"/>
        <v>7.3999999999999844</v>
      </c>
    </row>
    <row r="289" spans="1:5" x14ac:dyDescent="0.2">
      <c r="A289" s="14">
        <v>45967</v>
      </c>
      <c r="B289" s="15">
        <v>3.556</v>
      </c>
      <c r="C289" s="15">
        <v>4.0839999999999996</v>
      </c>
      <c r="D289" s="16">
        <f t="shared" si="8"/>
        <v>-7.6000000000000068</v>
      </c>
      <c r="E289" s="16">
        <f t="shared" si="9"/>
        <v>-7.6000000000000512</v>
      </c>
    </row>
    <row r="290" spans="1:5" x14ac:dyDescent="0.2">
      <c r="A290" s="14">
        <v>45968</v>
      </c>
      <c r="B290" s="15">
        <v>3.5630000000000002</v>
      </c>
      <c r="C290" s="15">
        <v>4.0979999999999999</v>
      </c>
      <c r="D290" s="16">
        <f t="shared" si="8"/>
        <v>0.70000000000001172</v>
      </c>
      <c r="E290" s="16">
        <f t="shared" si="9"/>
        <v>1.4000000000000234</v>
      </c>
    </row>
    <row r="291" spans="1:5" x14ac:dyDescent="0.2">
      <c r="A291" s="14">
        <v>45971</v>
      </c>
      <c r="B291" s="15">
        <v>3.5920000000000001</v>
      </c>
      <c r="C291" s="15">
        <v>4.117</v>
      </c>
      <c r="D291" s="16">
        <f t="shared" si="8"/>
        <v>2.8999999999999915</v>
      </c>
      <c r="E291" s="16">
        <f t="shared" si="9"/>
        <v>1.9000000000000128</v>
      </c>
    </row>
    <row r="292" spans="1:5" x14ac:dyDescent="0.2">
      <c r="A292" s="14">
        <v>45972</v>
      </c>
      <c r="B292" s="15">
        <v>3.5920000000000001</v>
      </c>
      <c r="C292" s="15">
        <v>4.117</v>
      </c>
      <c r="D292" s="16">
        <f t="shared" si="8"/>
        <v>0</v>
      </c>
      <c r="E292" s="16">
        <f t="shared" si="9"/>
        <v>0</v>
      </c>
    </row>
    <row r="293" spans="1:5" x14ac:dyDescent="0.2">
      <c r="A293" s="14">
        <v>45973</v>
      </c>
      <c r="B293" s="15">
        <v>3.57</v>
      </c>
      <c r="C293" s="15">
        <v>4.07</v>
      </c>
      <c r="D293" s="16">
        <f t="shared" si="8"/>
        <v>-2.2000000000000242</v>
      </c>
      <c r="E293" s="16">
        <f t="shared" si="9"/>
        <v>-4.6999999999999709</v>
      </c>
    </row>
    <row r="294" spans="1:5" x14ac:dyDescent="0.2">
      <c r="A294" s="14">
        <v>45974</v>
      </c>
      <c r="B294" s="15">
        <v>3.5920000000000001</v>
      </c>
      <c r="C294" s="15">
        <v>4.12</v>
      </c>
      <c r="D294" s="16">
        <f t="shared" si="8"/>
        <v>2.2000000000000242</v>
      </c>
      <c r="E294" s="16">
        <f t="shared" si="9"/>
        <v>4.9999999999999822</v>
      </c>
    </row>
    <row r="295" spans="1:5" x14ac:dyDescent="0.2">
      <c r="A295" s="14">
        <v>45975</v>
      </c>
      <c r="B295" s="15">
        <v>3.6080000000000001</v>
      </c>
      <c r="C295" s="15">
        <v>4.149</v>
      </c>
      <c r="D295" s="16">
        <f t="shared" si="8"/>
        <v>1.6000000000000014</v>
      </c>
      <c r="E295" s="16">
        <f t="shared" si="9"/>
        <v>2.8999999999999915</v>
      </c>
    </row>
    <row r="296" spans="1:5" x14ac:dyDescent="0.2">
      <c r="A296" s="14">
        <v>45978</v>
      </c>
      <c r="B296" s="15">
        <v>3.6110000000000002</v>
      </c>
      <c r="C296" s="15">
        <v>4.1399999999999997</v>
      </c>
      <c r="D296" s="16">
        <f t="shared" si="8"/>
        <v>0.30000000000001137</v>
      </c>
      <c r="E296" s="16">
        <f t="shared" si="9"/>
        <v>-0.90000000000003411</v>
      </c>
    </row>
    <row r="297" spans="1:5" x14ac:dyDescent="0.2">
      <c r="A297" s="14">
        <v>45979</v>
      </c>
      <c r="B297" s="15">
        <v>3.5739999999999998</v>
      </c>
      <c r="C297" s="15">
        <v>4.1139999999999999</v>
      </c>
      <c r="D297" s="16">
        <f t="shared" si="8"/>
        <v>-3.7000000000000366</v>
      </c>
      <c r="E297" s="16">
        <f t="shared" si="9"/>
        <v>-2.5999999999999801</v>
      </c>
    </row>
    <row r="298" spans="1:5" x14ac:dyDescent="0.2">
      <c r="A298" s="14">
        <v>45980</v>
      </c>
      <c r="B298" s="15">
        <v>3.593</v>
      </c>
      <c r="C298" s="15">
        <v>4.1379999999999999</v>
      </c>
      <c r="D298" s="16">
        <f t="shared" si="8"/>
        <v>1.9000000000000128</v>
      </c>
      <c r="E298" s="16">
        <f t="shared" si="9"/>
        <v>2.4000000000000021</v>
      </c>
    </row>
    <row r="299" spans="1:5" x14ac:dyDescent="0.2">
      <c r="A299" s="14">
        <v>45981</v>
      </c>
      <c r="B299" s="15">
        <v>3.5339999999999998</v>
      </c>
      <c r="C299" s="15">
        <v>4.085</v>
      </c>
      <c r="D299" s="16">
        <f t="shared" si="8"/>
        <v>-5.9000000000000163</v>
      </c>
      <c r="E299" s="16">
        <f t="shared" si="9"/>
        <v>-5.2999999999999936</v>
      </c>
    </row>
    <row r="300" spans="1:5" x14ac:dyDescent="0.2">
      <c r="A300" s="14">
        <v>45982</v>
      </c>
      <c r="B300" s="15">
        <v>3.51</v>
      </c>
      <c r="C300" s="15">
        <v>4.0650000000000004</v>
      </c>
      <c r="D300" s="16">
        <f t="shared" si="8"/>
        <v>-2.4000000000000021</v>
      </c>
      <c r="E300" s="16">
        <f t="shared" si="9"/>
        <v>-1.9999999999999574</v>
      </c>
    </row>
    <row r="301" spans="1:5" x14ac:dyDescent="0.2">
      <c r="A301" s="14">
        <v>45985</v>
      </c>
      <c r="B301" s="15">
        <v>3.4980000000000002</v>
      </c>
      <c r="C301" s="15">
        <v>4.0259999999999998</v>
      </c>
      <c r="D301" s="16">
        <f t="shared" si="8"/>
        <v>-1.1999999999999567</v>
      </c>
      <c r="E301" s="16">
        <f t="shared" si="9"/>
        <v>-3.900000000000059</v>
      </c>
    </row>
    <row r="302" spans="1:5" x14ac:dyDescent="0.2">
      <c r="A302" s="14">
        <v>45986</v>
      </c>
      <c r="B302" s="15">
        <v>3.46</v>
      </c>
      <c r="C302" s="15">
        <v>3.9969999999999999</v>
      </c>
      <c r="D302" s="16">
        <f t="shared" si="8"/>
        <v>-3.8000000000000256</v>
      </c>
      <c r="E302" s="16">
        <f t="shared" si="9"/>
        <v>-2.8999999999999915</v>
      </c>
    </row>
    <row r="303" spans="1:5" x14ac:dyDescent="0.2">
      <c r="A303" s="14">
        <v>45987</v>
      </c>
      <c r="B303" s="15">
        <v>3.4769999999999999</v>
      </c>
      <c r="C303" s="15">
        <v>3.9950000000000001</v>
      </c>
      <c r="D303" s="16">
        <f t="shared" si="8"/>
        <v>1.6999999999999904</v>
      </c>
      <c r="E303" s="16">
        <f t="shared" si="9"/>
        <v>-0.19999999999997797</v>
      </c>
    </row>
    <row r="304" spans="1:5" x14ac:dyDescent="0.2">
      <c r="A304" s="14">
        <v>45988</v>
      </c>
      <c r="B304" s="15">
        <v>3.4769999999999999</v>
      </c>
      <c r="C304" s="15">
        <v>3.9950000000000001</v>
      </c>
      <c r="D304" s="16">
        <f t="shared" si="8"/>
        <v>0</v>
      </c>
      <c r="E304" s="16">
        <f t="shared" si="9"/>
        <v>0</v>
      </c>
    </row>
    <row r="305" spans="1:5" x14ac:dyDescent="0.2">
      <c r="A305" s="14">
        <v>45989</v>
      </c>
      <c r="B305" s="15">
        <v>3.4910000000000001</v>
      </c>
      <c r="C305" s="15">
        <v>4.0149999999999997</v>
      </c>
      <c r="D305" s="16">
        <f t="shared" si="8"/>
        <v>1.4000000000000234</v>
      </c>
      <c r="E305" s="16">
        <f t="shared" si="9"/>
        <v>1.9999999999999574</v>
      </c>
    </row>
    <row r="306" spans="1:5" x14ac:dyDescent="0.2">
      <c r="A306" s="14">
        <v>45992</v>
      </c>
      <c r="B306" s="15">
        <v>3.5310000000000001</v>
      </c>
      <c r="C306" s="15">
        <v>4.0869999999999997</v>
      </c>
      <c r="D306" s="16">
        <f t="shared" si="8"/>
        <v>4.0000000000000036</v>
      </c>
      <c r="E306" s="16">
        <f t="shared" si="9"/>
        <v>7.2000000000000064</v>
      </c>
    </row>
    <row r="307" spans="1:5" x14ac:dyDescent="0.2">
      <c r="A307" s="14">
        <v>45993</v>
      </c>
      <c r="B307" s="15">
        <v>3.51</v>
      </c>
      <c r="C307" s="15">
        <v>4.0869999999999997</v>
      </c>
      <c r="D307" s="16">
        <f t="shared" si="8"/>
        <v>-2.1000000000000352</v>
      </c>
      <c r="E307" s="16">
        <f t="shared" si="9"/>
        <v>0</v>
      </c>
    </row>
    <row r="308" spans="1:5" x14ac:dyDescent="0.2">
      <c r="A308" s="14">
        <v>45994</v>
      </c>
      <c r="B308" s="15">
        <v>3.4860000000000002</v>
      </c>
      <c r="C308" s="15">
        <v>4.0640000000000001</v>
      </c>
      <c r="D308" s="16">
        <f t="shared" si="8"/>
        <v>-2.3999999999999577</v>
      </c>
      <c r="E308" s="16">
        <f t="shared" si="9"/>
        <v>-2.2999999999999687</v>
      </c>
    </row>
    <row r="309" spans="1:5" x14ac:dyDescent="0.2">
      <c r="A309" s="14">
        <v>45995</v>
      </c>
      <c r="B309" s="15">
        <v>3.524</v>
      </c>
      <c r="C309" s="15">
        <v>4.0990000000000002</v>
      </c>
      <c r="D309" s="16">
        <f t="shared" si="8"/>
        <v>3.7999999999999812</v>
      </c>
      <c r="E309" s="16">
        <f t="shared" si="9"/>
        <v>3.5000000000000142</v>
      </c>
    </row>
    <row r="310" spans="1:5" x14ac:dyDescent="0.2">
      <c r="A310" s="14">
        <v>45996</v>
      </c>
      <c r="B310" s="15">
        <v>3.5609999999999999</v>
      </c>
      <c r="C310" s="15">
        <v>4.1360000000000001</v>
      </c>
      <c r="D310" s="16">
        <f t="shared" si="8"/>
        <v>3.6999999999999922</v>
      </c>
      <c r="E310" s="16">
        <f t="shared" si="9"/>
        <v>3.6999999999999922</v>
      </c>
    </row>
    <row r="311" spans="1:5" x14ac:dyDescent="0.2">
      <c r="A311" s="14">
        <v>45999</v>
      </c>
      <c r="B311" s="15">
        <v>3.5760000000000001</v>
      </c>
      <c r="C311" s="15">
        <v>4.165</v>
      </c>
      <c r="D311" s="16">
        <f t="shared" si="8"/>
        <v>1.5000000000000124</v>
      </c>
      <c r="E311" s="16">
        <f t="shared" si="9"/>
        <v>2.8999999999999915</v>
      </c>
    </row>
    <row r="312" spans="1:5" x14ac:dyDescent="0.2">
      <c r="A312" s="14">
        <v>46000</v>
      </c>
      <c r="B312" s="15">
        <v>3.617</v>
      </c>
      <c r="C312" s="15">
        <v>4.1890000000000001</v>
      </c>
      <c r="D312" s="16">
        <f t="shared" si="8"/>
        <v>4.0999999999999925</v>
      </c>
      <c r="E312" s="16">
        <f t="shared" si="9"/>
        <v>2.4000000000000021</v>
      </c>
    </row>
    <row r="313" spans="1:5" x14ac:dyDescent="0.2">
      <c r="A313" s="14">
        <v>46001</v>
      </c>
      <c r="B313" s="15">
        <v>3.5390000000000001</v>
      </c>
      <c r="C313" s="15">
        <v>4.149</v>
      </c>
      <c r="D313" s="16">
        <f t="shared" si="8"/>
        <v>-7.7999999999999847</v>
      </c>
      <c r="E313" s="16">
        <f t="shared" si="9"/>
        <v>-4.0000000000000036</v>
      </c>
    </row>
    <row r="314" spans="1:5" x14ac:dyDescent="0.2">
      <c r="A314" s="14">
        <v>46002</v>
      </c>
      <c r="B314" s="15">
        <v>3.5409999999999999</v>
      </c>
      <c r="C314" s="15">
        <v>4.1580000000000004</v>
      </c>
      <c r="D314" s="16">
        <f t="shared" si="8"/>
        <v>0.19999999999997797</v>
      </c>
      <c r="E314" s="16">
        <f t="shared" si="9"/>
        <v>0.90000000000003411</v>
      </c>
    </row>
    <row r="315" spans="1:5" x14ac:dyDescent="0.2">
      <c r="A315" s="14">
        <v>46003</v>
      </c>
      <c r="B315" s="15">
        <v>3.5230000000000001</v>
      </c>
      <c r="C315" s="15">
        <v>4.1849999999999996</v>
      </c>
      <c r="D315" s="16">
        <f t="shared" si="8"/>
        <v>-1.7999999999999794</v>
      </c>
      <c r="E315" s="16">
        <f t="shared" si="9"/>
        <v>2.6999999999999247</v>
      </c>
    </row>
    <row r="316" spans="1:5" x14ac:dyDescent="0.2">
      <c r="A316" s="14">
        <v>46006</v>
      </c>
      <c r="B316" s="15">
        <v>3.5030000000000001</v>
      </c>
      <c r="C316" s="15">
        <v>4.1740000000000004</v>
      </c>
      <c r="D316" s="16">
        <f t="shared" si="8"/>
        <v>-2.0000000000000018</v>
      </c>
      <c r="E316" s="16">
        <f t="shared" si="9"/>
        <v>-1.0999999999999233</v>
      </c>
    </row>
    <row r="317" spans="1:5" x14ac:dyDescent="0.2">
      <c r="A317" s="14">
        <v>46007</v>
      </c>
      <c r="B317" s="15">
        <v>3.488</v>
      </c>
      <c r="C317" s="15">
        <v>4.1459999999999999</v>
      </c>
      <c r="D317" s="16">
        <f t="shared" si="8"/>
        <v>-1.5000000000000124</v>
      </c>
      <c r="E317" s="16">
        <f t="shared" si="9"/>
        <v>-2.8000000000000469</v>
      </c>
    </row>
    <row r="318" spans="1:5" x14ac:dyDescent="0.2">
      <c r="A318" s="14">
        <v>46008</v>
      </c>
      <c r="B318" s="15">
        <v>3.484</v>
      </c>
      <c r="C318" s="15">
        <v>4.1539999999999999</v>
      </c>
      <c r="D318" s="16">
        <f t="shared" si="8"/>
        <v>-0.40000000000000036</v>
      </c>
      <c r="E318" s="16">
        <f t="shared" si="9"/>
        <v>0.80000000000000071</v>
      </c>
    </row>
    <row r="319" spans="1:5" x14ac:dyDescent="0.2">
      <c r="A319" s="14">
        <v>46009</v>
      </c>
      <c r="B319" s="15">
        <v>3.4609999999999999</v>
      </c>
      <c r="C319" s="15">
        <v>4.1230000000000002</v>
      </c>
      <c r="D319" s="16">
        <f t="shared" si="8"/>
        <v>-2.3000000000000131</v>
      </c>
      <c r="E319" s="16">
        <f t="shared" si="9"/>
        <v>-3.0999999999999694</v>
      </c>
    </row>
    <row r="320" spans="1:5" x14ac:dyDescent="0.2">
      <c r="A320" s="14">
        <v>46010</v>
      </c>
      <c r="B320" s="15">
        <v>3.484</v>
      </c>
      <c r="C320" s="15">
        <v>4.1479999999999997</v>
      </c>
      <c r="D320" s="16">
        <f t="shared" si="8"/>
        <v>2.3000000000000131</v>
      </c>
      <c r="E320" s="16">
        <f t="shared" si="9"/>
        <v>2.4999999999999467</v>
      </c>
    </row>
    <row r="321" spans="1:5" x14ac:dyDescent="0.2">
      <c r="A321" s="14">
        <v>46013</v>
      </c>
      <c r="B321" s="15">
        <v>3.508</v>
      </c>
      <c r="C321" s="15">
        <v>4.165</v>
      </c>
      <c r="D321" s="16">
        <f t="shared" si="8"/>
        <v>2.4000000000000021</v>
      </c>
      <c r="E321" s="16">
        <f t="shared" si="9"/>
        <v>1.7000000000000348</v>
      </c>
    </row>
    <row r="322" spans="1:5" x14ac:dyDescent="0.2">
      <c r="A322" s="14">
        <v>46014</v>
      </c>
      <c r="B322" s="15">
        <v>3.5329999999999999</v>
      </c>
      <c r="C322" s="15">
        <v>4.165</v>
      </c>
      <c r="D322" s="16">
        <f t="shared" si="8"/>
        <v>2.4999999999999911</v>
      </c>
      <c r="E322" s="16">
        <f t="shared" si="9"/>
        <v>0</v>
      </c>
    </row>
    <row r="323" spans="1:5" x14ac:dyDescent="0.2">
      <c r="A323" s="14">
        <v>46015</v>
      </c>
      <c r="B323" s="15">
        <v>3.5059999999999998</v>
      </c>
      <c r="C323" s="15">
        <v>4.1360000000000001</v>
      </c>
      <c r="D323" s="16">
        <f t="shared" si="8"/>
        <v>-2.7000000000000135</v>
      </c>
      <c r="E323" s="16">
        <f t="shared" si="9"/>
        <v>-2.8999999999999915</v>
      </c>
    </row>
    <row r="324" spans="1:5" x14ac:dyDescent="0.2">
      <c r="A324" s="14">
        <v>46016</v>
      </c>
      <c r="B324" s="15">
        <v>3.5059999999999998</v>
      </c>
      <c r="C324" s="15">
        <v>4.1360000000000001</v>
      </c>
      <c r="D324" s="16">
        <f t="shared" ref="D324:D387" si="10">100*(B324-B323)</f>
        <v>0</v>
      </c>
      <c r="E324" s="16">
        <f t="shared" ref="E324:E387" si="11">100*(C324-C323)</f>
        <v>0</v>
      </c>
    </row>
    <row r="325" spans="1:5" x14ac:dyDescent="0.2">
      <c r="A325" s="14">
        <v>46017</v>
      </c>
      <c r="B325" s="15">
        <v>3.48</v>
      </c>
      <c r="C325" s="15">
        <v>4.1289999999999996</v>
      </c>
      <c r="D325" s="16">
        <f t="shared" si="10"/>
        <v>-2.5999999999999801</v>
      </c>
      <c r="E325" s="16">
        <f t="shared" si="11"/>
        <v>-0.70000000000005613</v>
      </c>
    </row>
    <row r="326" spans="1:5" x14ac:dyDescent="0.2">
      <c r="A326" s="14">
        <v>46020</v>
      </c>
      <c r="B326" s="15">
        <v>3.456</v>
      </c>
      <c r="C326" s="15">
        <v>4.1109999999999998</v>
      </c>
      <c r="D326" s="16">
        <f t="shared" si="10"/>
        <v>-2.4000000000000021</v>
      </c>
      <c r="E326" s="16">
        <f t="shared" si="11"/>
        <v>-1.7999999999999794</v>
      </c>
    </row>
    <row r="327" spans="1:5" x14ac:dyDescent="0.2">
      <c r="A327" s="14">
        <v>46021</v>
      </c>
      <c r="B327" s="15">
        <v>3.4489999999999998</v>
      </c>
      <c r="C327" s="15">
        <v>4.1230000000000002</v>
      </c>
      <c r="D327" s="16">
        <f t="shared" si="10"/>
        <v>-0.70000000000001172</v>
      </c>
      <c r="E327" s="16">
        <f t="shared" si="11"/>
        <v>1.2000000000000455</v>
      </c>
    </row>
    <row r="328" spans="1:5" x14ac:dyDescent="0.2">
      <c r="A328" s="14">
        <v>46022</v>
      </c>
      <c r="B328" s="15">
        <v>3.4750000000000001</v>
      </c>
      <c r="C328" s="15">
        <v>4.1689999999999996</v>
      </c>
      <c r="D328" s="16">
        <f t="shared" si="10"/>
        <v>2.6000000000000245</v>
      </c>
      <c r="E328" s="16">
        <f t="shared" si="11"/>
        <v>4.5999999999999375</v>
      </c>
    </row>
    <row r="329" spans="1:5" x14ac:dyDescent="0.2">
      <c r="A329" s="14">
        <v>46023</v>
      </c>
      <c r="B329" s="15">
        <v>3.4750000000000001</v>
      </c>
      <c r="C329" s="15">
        <v>4.1689999999999996</v>
      </c>
      <c r="D329" s="16">
        <f t="shared" si="10"/>
        <v>0</v>
      </c>
      <c r="E329" s="16">
        <f t="shared" si="11"/>
        <v>0</v>
      </c>
    </row>
    <row r="330" spans="1:5" x14ac:dyDescent="0.2">
      <c r="A330" s="14">
        <v>46024</v>
      </c>
      <c r="B330" s="15">
        <v>3.4740000000000002</v>
      </c>
      <c r="C330" s="15">
        <v>4.1920000000000002</v>
      </c>
      <c r="D330" s="16">
        <f t="shared" si="10"/>
        <v>-9.9999999999988987E-2</v>
      </c>
      <c r="E330" s="16">
        <f t="shared" si="11"/>
        <v>2.3000000000000576</v>
      </c>
    </row>
    <row r="331" spans="1:5" x14ac:dyDescent="0.2">
      <c r="A331" s="14">
        <v>46027</v>
      </c>
      <c r="B331" s="15">
        <v>3.452</v>
      </c>
      <c r="C331" s="15">
        <v>4.1619999999999999</v>
      </c>
      <c r="D331" s="16">
        <f t="shared" si="10"/>
        <v>-2.2000000000000242</v>
      </c>
      <c r="E331" s="16">
        <f t="shared" si="11"/>
        <v>-3.0000000000000249</v>
      </c>
    </row>
    <row r="332" spans="1:5" x14ac:dyDescent="0.2">
      <c r="A332" s="14">
        <v>46028</v>
      </c>
      <c r="B332" s="15">
        <v>3.464</v>
      </c>
      <c r="C332" s="15">
        <v>4.1740000000000004</v>
      </c>
      <c r="D332" s="16">
        <f t="shared" si="10"/>
        <v>1.2000000000000011</v>
      </c>
      <c r="E332" s="16">
        <f t="shared" si="11"/>
        <v>1.2000000000000455</v>
      </c>
    </row>
    <row r="333" spans="1:5" x14ac:dyDescent="0.2">
      <c r="A333" s="14">
        <v>46029</v>
      </c>
      <c r="B333" s="15">
        <v>3.472</v>
      </c>
      <c r="C333" s="15">
        <v>4.1500000000000004</v>
      </c>
      <c r="D333" s="16">
        <f t="shared" si="10"/>
        <v>0.80000000000000071</v>
      </c>
      <c r="E333" s="16">
        <f t="shared" si="11"/>
        <v>-2.4000000000000021</v>
      </c>
    </row>
    <row r="334" spans="1:5" x14ac:dyDescent="0.2">
      <c r="A334" s="14">
        <v>46030</v>
      </c>
      <c r="B334" s="15">
        <v>3.4889999999999999</v>
      </c>
      <c r="C334" s="15">
        <v>4.1680000000000001</v>
      </c>
      <c r="D334" s="16">
        <f t="shared" si="10"/>
        <v>1.6999999999999904</v>
      </c>
      <c r="E334" s="16">
        <f t="shared" si="11"/>
        <v>1.7999999999999794</v>
      </c>
    </row>
    <row r="335" spans="1:5" x14ac:dyDescent="0.2">
      <c r="A335" s="14">
        <v>46031</v>
      </c>
      <c r="B335" s="15">
        <v>3.5329999999999999</v>
      </c>
      <c r="C335" s="15">
        <v>4.1660000000000004</v>
      </c>
      <c r="D335" s="16">
        <f t="shared" si="10"/>
        <v>4.4000000000000039</v>
      </c>
      <c r="E335" s="16">
        <f t="shared" si="11"/>
        <v>-0.19999999999997797</v>
      </c>
    </row>
    <row r="336" spans="1:5" x14ac:dyDescent="0.2">
      <c r="A336" s="14">
        <v>46034</v>
      </c>
      <c r="B336" s="15">
        <v>3.5350000000000001</v>
      </c>
      <c r="C336" s="15">
        <v>4.1769999999999996</v>
      </c>
      <c r="D336" s="16">
        <f t="shared" si="10"/>
        <v>0.20000000000002238</v>
      </c>
      <c r="E336" s="16">
        <f t="shared" si="11"/>
        <v>1.0999999999999233</v>
      </c>
    </row>
    <row r="337" spans="1:5" x14ac:dyDescent="0.2">
      <c r="A337" s="14">
        <v>46035</v>
      </c>
      <c r="B337" s="15">
        <v>3.5350000000000001</v>
      </c>
      <c r="C337" s="15">
        <v>4.18</v>
      </c>
      <c r="D337" s="16">
        <f t="shared" si="10"/>
        <v>0</v>
      </c>
      <c r="E337" s="16">
        <f t="shared" si="11"/>
        <v>0.30000000000001137</v>
      </c>
    </row>
    <row r="338" spans="1:5" x14ac:dyDescent="0.2">
      <c r="A338" s="14">
        <v>46036</v>
      </c>
      <c r="B338" s="15">
        <v>3.512</v>
      </c>
      <c r="C338" s="15">
        <v>4.133</v>
      </c>
      <c r="D338" s="16">
        <f t="shared" si="10"/>
        <v>-2.3000000000000131</v>
      </c>
      <c r="E338" s="16">
        <f t="shared" si="11"/>
        <v>-4.6999999999999709</v>
      </c>
    </row>
    <row r="339" spans="1:5" x14ac:dyDescent="0.2">
      <c r="A339" s="14">
        <v>46037</v>
      </c>
      <c r="B339" s="15">
        <v>3.5659999999999998</v>
      </c>
      <c r="C339" s="15">
        <v>4.1710000000000003</v>
      </c>
      <c r="D339" s="16">
        <f t="shared" si="10"/>
        <v>5.3999999999999826</v>
      </c>
      <c r="E339" s="16">
        <f t="shared" si="11"/>
        <v>3.8000000000000256</v>
      </c>
    </row>
    <row r="340" spans="1:5" x14ac:dyDescent="0.2">
      <c r="A340" s="14">
        <v>46038</v>
      </c>
      <c r="B340" s="15">
        <v>3.5880000000000001</v>
      </c>
      <c r="C340" s="15">
        <v>4.2240000000000002</v>
      </c>
      <c r="D340" s="16">
        <f t="shared" si="10"/>
        <v>2.2000000000000242</v>
      </c>
      <c r="E340" s="16">
        <f t="shared" si="11"/>
        <v>5.2999999999999936</v>
      </c>
    </row>
    <row r="341" spans="1:5" x14ac:dyDescent="0.2">
      <c r="A341" s="14">
        <v>46041</v>
      </c>
      <c r="B341" s="15">
        <v>3.5880000000000001</v>
      </c>
      <c r="C341" s="15">
        <v>4.2240000000000002</v>
      </c>
      <c r="D341" s="16">
        <f t="shared" si="10"/>
        <v>0</v>
      </c>
      <c r="E341" s="16">
        <f t="shared" si="11"/>
        <v>0</v>
      </c>
    </row>
    <row r="342" spans="1:5" x14ac:dyDescent="0.2">
      <c r="A342" s="14">
        <v>46042</v>
      </c>
      <c r="B342" s="15">
        <v>3.5979999999999999</v>
      </c>
      <c r="C342" s="15">
        <v>4.2939999999999996</v>
      </c>
      <c r="D342" s="16">
        <f t="shared" si="10"/>
        <v>0.99999999999997868</v>
      </c>
      <c r="E342" s="16">
        <f t="shared" si="11"/>
        <v>6.9999999999999396</v>
      </c>
    </row>
    <row r="343" spans="1:5" x14ac:dyDescent="0.2">
      <c r="A343" s="14">
        <v>46043</v>
      </c>
      <c r="B343" s="15">
        <v>3.5870000000000002</v>
      </c>
      <c r="C343" s="15">
        <v>4.2439999999999998</v>
      </c>
      <c r="D343" s="16">
        <f t="shared" si="10"/>
        <v>-1.0999999999999677</v>
      </c>
      <c r="E343" s="16">
        <f t="shared" si="11"/>
        <v>-4.9999999999999822</v>
      </c>
    </row>
    <row r="344" spans="1:5" x14ac:dyDescent="0.2">
      <c r="A344" s="14">
        <v>46044</v>
      </c>
      <c r="B344" s="15">
        <v>3.6070000000000002</v>
      </c>
      <c r="C344" s="15">
        <v>4.2460000000000004</v>
      </c>
      <c r="D344" s="16">
        <f t="shared" si="10"/>
        <v>2.0000000000000018</v>
      </c>
      <c r="E344" s="16">
        <f t="shared" si="11"/>
        <v>0.20000000000006679</v>
      </c>
    </row>
    <row r="345" spans="1:5" x14ac:dyDescent="0.2">
      <c r="A345" s="14">
        <v>46045</v>
      </c>
      <c r="B345" s="15">
        <v>3.5950000000000002</v>
      </c>
      <c r="C345" s="15">
        <v>4.226</v>
      </c>
      <c r="D345" s="16">
        <f t="shared" si="10"/>
        <v>-1.2000000000000011</v>
      </c>
      <c r="E345" s="16">
        <f t="shared" si="11"/>
        <v>-2.0000000000000462</v>
      </c>
    </row>
    <row r="346" spans="1:5" x14ac:dyDescent="0.2">
      <c r="A346" s="14">
        <v>46048</v>
      </c>
      <c r="B346" s="15">
        <v>3.5910000000000002</v>
      </c>
      <c r="C346" s="15">
        <v>4.2130000000000001</v>
      </c>
      <c r="D346" s="16">
        <f t="shared" si="10"/>
        <v>-0.40000000000000036</v>
      </c>
      <c r="E346" s="16">
        <f t="shared" si="11"/>
        <v>-1.2999999999999901</v>
      </c>
    </row>
    <row r="347" spans="1:5" x14ac:dyDescent="0.2">
      <c r="A347" s="14">
        <v>46049</v>
      </c>
      <c r="B347" s="15">
        <v>3.5739999999999998</v>
      </c>
      <c r="C347" s="15">
        <v>4.2450000000000001</v>
      </c>
      <c r="D347" s="16">
        <f t="shared" si="10"/>
        <v>-1.7000000000000348</v>
      </c>
      <c r="E347" s="16">
        <f t="shared" si="11"/>
        <v>3.2000000000000028</v>
      </c>
    </row>
    <row r="348" spans="1:5" x14ac:dyDescent="0.2">
      <c r="A348" s="14">
        <v>46050</v>
      </c>
      <c r="B348" s="15">
        <v>3.573</v>
      </c>
      <c r="C348" s="15">
        <v>4.2439999999999998</v>
      </c>
      <c r="D348" s="16">
        <f t="shared" si="10"/>
        <v>-9.9999999999988987E-2</v>
      </c>
      <c r="E348" s="16">
        <f t="shared" si="11"/>
        <v>-0.1000000000000334</v>
      </c>
    </row>
    <row r="349" spans="1:5" x14ac:dyDescent="0.2">
      <c r="A349" s="14">
        <v>46051</v>
      </c>
      <c r="B349" s="15">
        <v>3.5609999999999999</v>
      </c>
      <c r="C349" s="15">
        <v>4.2329999999999997</v>
      </c>
      <c r="D349" s="16">
        <f t="shared" si="10"/>
        <v>-1.2000000000000011</v>
      </c>
      <c r="E349" s="16">
        <f t="shared" si="11"/>
        <v>-1.1000000000000121</v>
      </c>
    </row>
    <row r="350" spans="1:5" x14ac:dyDescent="0.2">
      <c r="A350" s="14">
        <v>46052</v>
      </c>
      <c r="B350" s="15">
        <v>3.524</v>
      </c>
      <c r="C350" s="15">
        <v>4.2370000000000001</v>
      </c>
      <c r="D350" s="16">
        <f t="shared" si="10"/>
        <v>-3.6999999999999922</v>
      </c>
      <c r="E350" s="16">
        <f t="shared" si="11"/>
        <v>0.40000000000004476</v>
      </c>
    </row>
    <row r="351" spans="1:5" x14ac:dyDescent="0.2">
      <c r="A351" s="14">
        <v>46055</v>
      </c>
      <c r="B351" s="15">
        <v>3.573</v>
      </c>
      <c r="C351" s="15">
        <v>4.2789999999999999</v>
      </c>
      <c r="D351" s="16">
        <f t="shared" si="10"/>
        <v>4.8999999999999932</v>
      </c>
      <c r="E351" s="16">
        <f t="shared" si="11"/>
        <v>4.1999999999999815</v>
      </c>
    </row>
    <row r="352" spans="1:5" x14ac:dyDescent="0.2">
      <c r="A352" s="14">
        <v>46056</v>
      </c>
      <c r="B352" s="15">
        <v>3.5710000000000002</v>
      </c>
      <c r="C352" s="15">
        <v>4.266</v>
      </c>
      <c r="D352" s="16">
        <f t="shared" si="10"/>
        <v>-0.19999999999997797</v>
      </c>
      <c r="E352" s="16">
        <f t="shared" si="11"/>
        <v>-1.2999999999999901</v>
      </c>
    </row>
    <row r="353" spans="1:5" x14ac:dyDescent="0.2">
      <c r="A353" s="14">
        <v>46057</v>
      </c>
      <c r="B353" s="15">
        <v>3.5550000000000002</v>
      </c>
      <c r="C353" s="15">
        <v>4.2759999999999998</v>
      </c>
      <c r="D353" s="16">
        <f t="shared" si="10"/>
        <v>-1.6000000000000014</v>
      </c>
      <c r="E353" s="16">
        <f t="shared" si="11"/>
        <v>0.99999999999997868</v>
      </c>
    </row>
    <row r="354" spans="1:5" x14ac:dyDescent="0.2">
      <c r="A354" s="14">
        <v>46058</v>
      </c>
      <c r="B354" s="15">
        <v>3.452</v>
      </c>
      <c r="C354" s="15">
        <v>4.181</v>
      </c>
      <c r="D354" s="16">
        <f t="shared" si="10"/>
        <v>-10.30000000000002</v>
      </c>
      <c r="E354" s="16">
        <f t="shared" si="11"/>
        <v>-9.4999999999999751</v>
      </c>
    </row>
    <row r="355" spans="1:5" x14ac:dyDescent="0.2">
      <c r="A355" s="14">
        <v>46059</v>
      </c>
      <c r="B355" s="15">
        <v>3.5</v>
      </c>
      <c r="C355" s="15">
        <v>4.2080000000000002</v>
      </c>
      <c r="D355" s="16">
        <f t="shared" si="10"/>
        <v>4.8000000000000043</v>
      </c>
      <c r="E355" s="16">
        <f t="shared" si="11"/>
        <v>2.7000000000000135</v>
      </c>
    </row>
    <row r="356" spans="1:5" x14ac:dyDescent="0.2">
      <c r="A356" s="14">
        <v>46062</v>
      </c>
      <c r="B356" s="15">
        <v>3.4870000000000001</v>
      </c>
      <c r="C356" s="15">
        <v>4.2030000000000003</v>
      </c>
      <c r="D356" s="16">
        <f t="shared" si="10"/>
        <v>-1.2999999999999901</v>
      </c>
      <c r="E356" s="16">
        <f t="shared" si="11"/>
        <v>-0.49999999999998934</v>
      </c>
    </row>
    <row r="357" spans="1:5" x14ac:dyDescent="0.2">
      <c r="A357" s="14">
        <v>46063</v>
      </c>
      <c r="B357" s="15">
        <v>3.4540000000000002</v>
      </c>
      <c r="C357" s="15">
        <v>4.1449999999999996</v>
      </c>
      <c r="D357" s="16">
        <f t="shared" si="10"/>
        <v>-3.2999999999999918</v>
      </c>
      <c r="E357" s="16">
        <f t="shared" si="11"/>
        <v>-5.8000000000000718</v>
      </c>
    </row>
    <row r="358" spans="1:5" x14ac:dyDescent="0.2">
      <c r="A358" s="14">
        <v>46064</v>
      </c>
      <c r="B358" s="15">
        <v>3.512</v>
      </c>
      <c r="C358" s="15">
        <v>4.173</v>
      </c>
      <c r="D358" s="16">
        <f t="shared" si="10"/>
        <v>5.7999999999999829</v>
      </c>
      <c r="E358" s="16">
        <f t="shared" si="11"/>
        <v>2.8000000000000469</v>
      </c>
    </row>
    <row r="359" spans="1:5" x14ac:dyDescent="0.2">
      <c r="A359" s="14">
        <v>46065</v>
      </c>
      <c r="B359" s="15">
        <v>3.4569999999999999</v>
      </c>
      <c r="C359" s="15">
        <v>4.0999999999999996</v>
      </c>
      <c r="D359" s="16">
        <f t="shared" si="10"/>
        <v>-5.500000000000016</v>
      </c>
      <c r="E359" s="16">
        <f t="shared" si="11"/>
        <v>-7.3000000000000398</v>
      </c>
    </row>
    <row r="360" spans="1:5" x14ac:dyDescent="0.2">
      <c r="A360" s="14">
        <v>46066</v>
      </c>
      <c r="B360" s="15">
        <v>3.4089999999999998</v>
      </c>
      <c r="C360" s="15">
        <v>4.0490000000000004</v>
      </c>
      <c r="D360" s="16">
        <f t="shared" si="10"/>
        <v>-4.8000000000000043</v>
      </c>
      <c r="E360" s="16">
        <f t="shared" si="11"/>
        <v>-5.0999999999999268</v>
      </c>
    </row>
    <row r="361" spans="1:5" x14ac:dyDescent="0.2">
      <c r="A361" s="14">
        <v>46069</v>
      </c>
      <c r="B361" s="15">
        <v>3.4089999999999998</v>
      </c>
      <c r="C361" s="15">
        <v>4.0490000000000004</v>
      </c>
      <c r="D361" s="16">
        <f t="shared" si="10"/>
        <v>0</v>
      </c>
      <c r="E361" s="16">
        <f t="shared" si="11"/>
        <v>0</v>
      </c>
    </row>
    <row r="362" spans="1:5" x14ac:dyDescent="0.2">
      <c r="A362" s="14">
        <v>46070</v>
      </c>
      <c r="B362" s="15">
        <v>3.4359999999999999</v>
      </c>
      <c r="C362" s="15">
        <v>4.0599999999999996</v>
      </c>
      <c r="D362" s="16">
        <f t="shared" si="10"/>
        <v>2.7000000000000135</v>
      </c>
      <c r="E362" s="16">
        <f t="shared" si="11"/>
        <v>1.0999999999999233</v>
      </c>
    </row>
    <row r="363" spans="1:5" x14ac:dyDescent="0.2">
      <c r="A363" s="14">
        <v>46071</v>
      </c>
      <c r="B363" s="15">
        <v>3.4630000000000001</v>
      </c>
      <c r="C363" s="15">
        <v>4.0839999999999996</v>
      </c>
      <c r="D363" s="16">
        <f t="shared" si="10"/>
        <v>2.7000000000000135</v>
      </c>
      <c r="E363" s="16">
        <f t="shared" si="11"/>
        <v>2.4000000000000021</v>
      </c>
    </row>
    <row r="364" spans="1:5" x14ac:dyDescent="0.2">
      <c r="A364" s="14">
        <v>46072</v>
      </c>
      <c r="B364" s="15">
        <v>3.46</v>
      </c>
      <c r="C364" s="15">
        <v>4.0679999999999996</v>
      </c>
      <c r="D364" s="16">
        <f t="shared" si="10"/>
        <v>-0.30000000000001137</v>
      </c>
      <c r="E364" s="16">
        <f t="shared" si="11"/>
        <v>-1.6000000000000014</v>
      </c>
    </row>
    <row r="365" spans="1:5" x14ac:dyDescent="0.2">
      <c r="A365" s="14">
        <v>46073</v>
      </c>
      <c r="B365" s="15">
        <v>3.4790000000000001</v>
      </c>
      <c r="C365" s="15">
        <v>4.085</v>
      </c>
      <c r="D365" s="16">
        <f t="shared" si="10"/>
        <v>1.9000000000000128</v>
      </c>
      <c r="E365" s="16">
        <f t="shared" si="11"/>
        <v>1.7000000000000348</v>
      </c>
    </row>
    <row r="366" spans="1:5" x14ac:dyDescent="0.2">
      <c r="A366" s="14">
        <v>46076</v>
      </c>
      <c r="B366" s="15">
        <v>3.44</v>
      </c>
      <c r="C366" s="15">
        <v>4.0330000000000004</v>
      </c>
      <c r="D366" s="16">
        <f t="shared" si="10"/>
        <v>-3.9000000000000146</v>
      </c>
      <c r="E366" s="16">
        <f t="shared" si="11"/>
        <v>-5.1999999999999602</v>
      </c>
    </row>
    <row r="367" spans="1:5" x14ac:dyDescent="0.2">
      <c r="A367" s="14">
        <v>46077</v>
      </c>
      <c r="B367" s="15">
        <v>3.4630000000000001</v>
      </c>
      <c r="C367" s="15">
        <v>4.0309999999999997</v>
      </c>
      <c r="D367" s="16">
        <f t="shared" si="10"/>
        <v>2.3000000000000131</v>
      </c>
      <c r="E367" s="16">
        <f t="shared" si="11"/>
        <v>-0.20000000000006679</v>
      </c>
    </row>
    <row r="368" spans="1:5" x14ac:dyDescent="0.2">
      <c r="A368" s="14">
        <v>46078</v>
      </c>
      <c r="B368" s="15">
        <v>3.472</v>
      </c>
      <c r="C368" s="15">
        <v>4.0540000000000003</v>
      </c>
      <c r="D368" s="16">
        <f t="shared" si="10"/>
        <v>0.8999999999999897</v>
      </c>
      <c r="E368" s="16">
        <f t="shared" si="11"/>
        <v>2.3000000000000576</v>
      </c>
    </row>
    <row r="369" spans="1:5" x14ac:dyDescent="0.2">
      <c r="A369" s="14">
        <v>46079</v>
      </c>
      <c r="B369" s="15">
        <v>3.431</v>
      </c>
      <c r="C369" s="15">
        <v>4.0049999999999999</v>
      </c>
      <c r="D369" s="16">
        <f t="shared" si="10"/>
        <v>-4.0999999999999925</v>
      </c>
      <c r="E369" s="16">
        <f t="shared" si="11"/>
        <v>-4.9000000000000377</v>
      </c>
    </row>
    <row r="370" spans="1:5" x14ac:dyDescent="0.2">
      <c r="A370" s="14">
        <v>46080</v>
      </c>
      <c r="B370" s="15">
        <v>3.3780000000000001</v>
      </c>
      <c r="C370" s="15">
        <v>3.9409999999999998</v>
      </c>
      <c r="D370" s="16">
        <f t="shared" si="10"/>
        <v>-5.2999999999999936</v>
      </c>
      <c r="E370" s="16">
        <f t="shared" si="11"/>
        <v>-6.4000000000000057</v>
      </c>
    </row>
    <row r="371" spans="1:5" x14ac:dyDescent="0.2">
      <c r="A371" s="14">
        <v>46083</v>
      </c>
      <c r="B371" s="15">
        <v>3.476</v>
      </c>
      <c r="C371" s="15">
        <v>4.0359999999999996</v>
      </c>
      <c r="D371" s="16">
        <f t="shared" si="10"/>
        <v>9.7999999999999865</v>
      </c>
      <c r="E371" s="16">
        <f t="shared" si="11"/>
        <v>9.4999999999999751</v>
      </c>
    </row>
    <row r="372" spans="1:5" x14ac:dyDescent="0.2">
      <c r="A372" s="14">
        <v>46084</v>
      </c>
      <c r="B372" s="15">
        <v>3.5089999999999999</v>
      </c>
      <c r="C372" s="15">
        <v>4.0609999999999999</v>
      </c>
      <c r="D372" s="16">
        <f t="shared" si="10"/>
        <v>3.2999999999999918</v>
      </c>
      <c r="E372" s="16">
        <f t="shared" si="11"/>
        <v>2.5000000000000355</v>
      </c>
    </row>
    <row r="373" spans="1:5" x14ac:dyDescent="0.2">
      <c r="A373" s="14">
        <v>46085</v>
      </c>
      <c r="B373" s="15">
        <v>3.55</v>
      </c>
      <c r="C373" s="15">
        <v>4.0979999999999999</v>
      </c>
      <c r="D373" s="16">
        <f t="shared" si="10"/>
        <v>4.0999999999999925</v>
      </c>
      <c r="E373" s="16">
        <f t="shared" si="11"/>
        <v>3.6999999999999922</v>
      </c>
    </row>
    <row r="374" spans="1:5" x14ac:dyDescent="0.2">
      <c r="A374" s="14">
        <v>46086</v>
      </c>
      <c r="B374" s="15">
        <v>3.581</v>
      </c>
      <c r="C374" s="15">
        <v>4.1369999999999996</v>
      </c>
      <c r="D374" s="16">
        <f t="shared" si="10"/>
        <v>3.1000000000000139</v>
      </c>
      <c r="E374" s="16">
        <f t="shared" si="11"/>
        <v>3.8999999999999702</v>
      </c>
    </row>
    <row r="375" spans="1:5" x14ac:dyDescent="0.2">
      <c r="A375" s="14">
        <v>46087</v>
      </c>
      <c r="B375" s="15">
        <v>3.5630000000000002</v>
      </c>
      <c r="C375" s="15">
        <v>4.1399999999999997</v>
      </c>
      <c r="D375" s="16">
        <f t="shared" si="10"/>
        <v>-1.7999999999999794</v>
      </c>
      <c r="E375" s="16">
        <f t="shared" si="11"/>
        <v>0.30000000000001137</v>
      </c>
    </row>
    <row r="376" spans="1:5" x14ac:dyDescent="0.2">
      <c r="A376" s="14">
        <v>46090</v>
      </c>
      <c r="B376" s="15">
        <v>3.5390000000000001</v>
      </c>
      <c r="C376" s="15">
        <v>4.0979999999999999</v>
      </c>
      <c r="D376" s="16">
        <f t="shared" si="10"/>
        <v>-2.4000000000000021</v>
      </c>
      <c r="E376" s="16">
        <f t="shared" si="11"/>
        <v>-4.1999999999999815</v>
      </c>
    </row>
    <row r="377" spans="1:5" x14ac:dyDescent="0.2">
      <c r="A377" s="14">
        <v>46091</v>
      </c>
      <c r="B377" s="15">
        <v>3.593</v>
      </c>
      <c r="C377" s="15">
        <v>4.1580000000000004</v>
      </c>
      <c r="D377" s="16">
        <f t="shared" si="10"/>
        <v>5.3999999999999826</v>
      </c>
      <c r="E377" s="16">
        <f t="shared" si="11"/>
        <v>6.0000000000000497</v>
      </c>
    </row>
    <row r="378" spans="1:5" x14ac:dyDescent="0.2">
      <c r="A378" s="14">
        <v>46092</v>
      </c>
      <c r="B378" s="15">
        <v>3.6539999999999999</v>
      </c>
      <c r="C378" s="15">
        <v>4.2320000000000002</v>
      </c>
      <c r="D378" s="16">
        <f t="shared" si="10"/>
        <v>6.0999999999999943</v>
      </c>
      <c r="E378" s="16">
        <f t="shared" si="11"/>
        <v>7.3999999999999844</v>
      </c>
    </row>
    <row r="379" spans="1:5" x14ac:dyDescent="0.2">
      <c r="A379" s="14">
        <v>46093</v>
      </c>
      <c r="B379" s="15">
        <v>3.7440000000000002</v>
      </c>
      <c r="C379" s="15">
        <v>4.2629999999999999</v>
      </c>
      <c r="D379" s="16">
        <f t="shared" si="10"/>
        <v>9.0000000000000302</v>
      </c>
      <c r="E379" s="16">
        <f t="shared" si="11"/>
        <v>3.0999999999999694</v>
      </c>
    </row>
    <row r="380" spans="1:5" x14ac:dyDescent="0.2">
      <c r="A380" s="14">
        <v>46094</v>
      </c>
      <c r="B380" s="15">
        <v>3.718</v>
      </c>
      <c r="C380" s="15">
        <v>4.2779999999999996</v>
      </c>
      <c r="D380" s="16">
        <f t="shared" si="10"/>
        <v>-2.6000000000000245</v>
      </c>
      <c r="E380" s="16">
        <f t="shared" si="11"/>
        <v>1.499999999999968</v>
      </c>
    </row>
    <row r="381" spans="1:5" x14ac:dyDescent="0.2">
      <c r="A381" s="14">
        <v>46097</v>
      </c>
      <c r="B381" s="15">
        <v>3.6720000000000002</v>
      </c>
      <c r="C381" s="15">
        <v>4.218</v>
      </c>
      <c r="D381" s="16">
        <f t="shared" si="10"/>
        <v>-4.5999999999999819</v>
      </c>
      <c r="E381" s="16">
        <f t="shared" si="11"/>
        <v>-5.9999999999999609</v>
      </c>
    </row>
    <row r="382" spans="1:5" x14ac:dyDescent="0.2">
      <c r="A382" s="14">
        <v>46098</v>
      </c>
      <c r="B382" s="15">
        <v>3.6760000000000002</v>
      </c>
      <c r="C382" s="15">
        <v>4.2</v>
      </c>
      <c r="D382" s="16">
        <f t="shared" si="10"/>
        <v>0.40000000000000036</v>
      </c>
      <c r="E382" s="16">
        <f t="shared" si="11"/>
        <v>-1.7999999999999794</v>
      </c>
    </row>
    <row r="383" spans="1:5" x14ac:dyDescent="0.2">
      <c r="A383" s="14">
        <v>46099</v>
      </c>
      <c r="B383" s="15">
        <v>3.7770000000000001</v>
      </c>
      <c r="C383" s="15">
        <v>4.2670000000000003</v>
      </c>
      <c r="D383" s="16">
        <f t="shared" si="10"/>
        <v>10.099999999999998</v>
      </c>
      <c r="E383" s="16">
        <f t="shared" si="11"/>
        <v>6.7000000000000171</v>
      </c>
    </row>
    <row r="384" spans="1:5" x14ac:dyDescent="0.2">
      <c r="A384" s="14">
        <v>46100</v>
      </c>
      <c r="B384" s="15">
        <v>3.7930000000000001</v>
      </c>
      <c r="C384" s="15">
        <v>4.2510000000000003</v>
      </c>
      <c r="D384" s="16">
        <f t="shared" si="10"/>
        <v>1.6000000000000014</v>
      </c>
      <c r="E384" s="16">
        <f t="shared" si="11"/>
        <v>-1.6000000000000014</v>
      </c>
    </row>
    <row r="385" spans="1:5" x14ac:dyDescent="0.2">
      <c r="A385" s="14">
        <v>46101</v>
      </c>
      <c r="B385" s="15">
        <v>3.9020000000000001</v>
      </c>
      <c r="C385" s="15">
        <v>4.3819999999999997</v>
      </c>
      <c r="D385" s="16">
        <f t="shared" si="10"/>
        <v>10.899999999999999</v>
      </c>
      <c r="E385" s="16">
        <f t="shared" si="11"/>
        <v>13.099999999999934</v>
      </c>
    </row>
    <row r="386" spans="1:5" x14ac:dyDescent="0.2">
      <c r="A386" s="14">
        <v>46104</v>
      </c>
      <c r="B386" s="15">
        <v>3.8540000000000001</v>
      </c>
      <c r="C386" s="15">
        <v>4.3449999999999998</v>
      </c>
      <c r="D386" s="16">
        <f t="shared" si="10"/>
        <v>-4.8000000000000043</v>
      </c>
      <c r="E386" s="16">
        <f t="shared" si="11"/>
        <v>-3.6999999999999922</v>
      </c>
    </row>
    <row r="387" spans="1:5" x14ac:dyDescent="0.2">
      <c r="A387" s="14">
        <v>46105</v>
      </c>
      <c r="B387" s="15">
        <v>3.8919999999999999</v>
      </c>
      <c r="C387" s="15">
        <v>4.3639999999999999</v>
      </c>
      <c r="D387" s="16">
        <f t="shared" si="10"/>
        <v>3.7999999999999812</v>
      </c>
      <c r="E387" s="16">
        <f t="shared" si="11"/>
        <v>1.9000000000000128</v>
      </c>
    </row>
    <row r="388" spans="1:5" x14ac:dyDescent="0.2">
      <c r="A388" s="14">
        <v>46106</v>
      </c>
      <c r="B388" s="15">
        <v>3.8879999999999999</v>
      </c>
      <c r="C388" s="15">
        <v>4.3339999999999996</v>
      </c>
      <c r="D388" s="16">
        <f t="shared" ref="D388:D451" si="12">100*(B388-B387)</f>
        <v>-0.40000000000000036</v>
      </c>
      <c r="E388" s="16">
        <f t="shared" ref="E388:E451" si="13">100*(C388-C387)</f>
        <v>-3.0000000000000249</v>
      </c>
    </row>
    <row r="389" spans="1:5" x14ac:dyDescent="0.2">
      <c r="A389" s="14">
        <v>46107</v>
      </c>
      <c r="B389" s="15">
        <v>3.9870000000000001</v>
      </c>
      <c r="C389" s="15">
        <v>4.415</v>
      </c>
      <c r="D389" s="16">
        <f t="shared" si="12"/>
        <v>9.9000000000000199</v>
      </c>
      <c r="E389" s="16">
        <f t="shared" si="13"/>
        <v>8.1000000000000405</v>
      </c>
    </row>
    <row r="390" spans="1:5" x14ac:dyDescent="0.2">
      <c r="A390" s="14">
        <v>46108</v>
      </c>
      <c r="B390" s="15">
        <v>3.9129999999999998</v>
      </c>
      <c r="C390" s="15">
        <v>4.43</v>
      </c>
      <c r="D390" s="16">
        <f t="shared" si="12"/>
        <v>-7.4000000000000288</v>
      </c>
      <c r="E390" s="16">
        <f t="shared" si="13"/>
        <v>1.499999999999968</v>
      </c>
    </row>
    <row r="391" spans="1:5" x14ac:dyDescent="0.2">
      <c r="A391" s="14">
        <v>46111</v>
      </c>
      <c r="B391" s="15">
        <v>3.83</v>
      </c>
      <c r="C391" s="15">
        <v>4.3499999999999996</v>
      </c>
      <c r="D391" s="16">
        <f t="shared" si="12"/>
        <v>-8.2999999999999741</v>
      </c>
      <c r="E391" s="16">
        <f t="shared" si="13"/>
        <v>-8.0000000000000071</v>
      </c>
    </row>
    <row r="392" spans="1:5" x14ac:dyDescent="0.2">
      <c r="A392" s="14">
        <v>46112</v>
      </c>
      <c r="B392" s="15">
        <v>3.7959999999999998</v>
      </c>
      <c r="C392" s="15">
        <v>4.319</v>
      </c>
      <c r="D392" s="16">
        <f t="shared" si="12"/>
        <v>-3.4000000000000252</v>
      </c>
      <c r="E392" s="16">
        <f t="shared" si="13"/>
        <v>-3.0999999999999694</v>
      </c>
    </row>
    <row r="393" spans="1:5" x14ac:dyDescent="0.2">
      <c r="A393" s="14">
        <v>46113</v>
      </c>
      <c r="B393" s="15">
        <v>3.8050000000000002</v>
      </c>
      <c r="C393" s="15">
        <v>4.32</v>
      </c>
      <c r="D393" s="16">
        <f t="shared" si="12"/>
        <v>0.90000000000003411</v>
      </c>
      <c r="E393" s="16">
        <f t="shared" si="13"/>
        <v>0.1000000000000334</v>
      </c>
    </row>
    <row r="394" spans="1:5" x14ac:dyDescent="0.2">
      <c r="A394" s="14">
        <v>46114</v>
      </c>
      <c r="B394" s="15">
        <v>3.7989999999999999</v>
      </c>
      <c r="C394" s="15">
        <v>4.3070000000000004</v>
      </c>
      <c r="D394" s="16">
        <f t="shared" si="12"/>
        <v>-0.60000000000002274</v>
      </c>
      <c r="E394" s="16">
        <f t="shared" si="13"/>
        <v>-1.2999999999999901</v>
      </c>
    </row>
    <row r="395" spans="1:5" x14ac:dyDescent="0.2">
      <c r="A395" s="14">
        <v>46115</v>
      </c>
      <c r="B395" s="15">
        <v>3.843</v>
      </c>
      <c r="C395" s="15">
        <v>4.3460000000000001</v>
      </c>
      <c r="D395" s="16">
        <f t="shared" si="12"/>
        <v>4.4000000000000039</v>
      </c>
      <c r="E395" s="16">
        <f t="shared" si="13"/>
        <v>3.8999999999999702</v>
      </c>
    </row>
    <row r="396" spans="1:5" x14ac:dyDescent="0.2">
      <c r="A396" s="14">
        <v>46118</v>
      </c>
      <c r="B396" s="15">
        <v>3.851</v>
      </c>
      <c r="C396" s="15">
        <v>4.3330000000000002</v>
      </c>
      <c r="D396" s="16">
        <f t="shared" si="12"/>
        <v>0.80000000000000071</v>
      </c>
      <c r="E396" s="16">
        <f t="shared" si="13"/>
        <v>-1.2999999999999901</v>
      </c>
    </row>
    <row r="397" spans="1:5" x14ac:dyDescent="0.2">
      <c r="A397" s="14">
        <v>46119</v>
      </c>
      <c r="B397" s="15">
        <v>3.79</v>
      </c>
      <c r="C397" s="15">
        <v>4.2949999999999999</v>
      </c>
      <c r="D397" s="16">
        <f t="shared" si="12"/>
        <v>-6.0999999999999943</v>
      </c>
      <c r="E397" s="16">
        <f t="shared" si="13"/>
        <v>-3.8000000000000256</v>
      </c>
    </row>
    <row r="398" spans="1:5" x14ac:dyDescent="0.2">
      <c r="A398" s="14">
        <v>46120</v>
      </c>
      <c r="B398" s="15">
        <v>3.7890000000000001</v>
      </c>
      <c r="C398" s="15">
        <v>4.2930000000000001</v>
      </c>
      <c r="D398" s="16">
        <f t="shared" si="12"/>
        <v>-9.9999999999988987E-2</v>
      </c>
      <c r="E398" s="16">
        <f t="shared" si="13"/>
        <v>-0.19999999999997797</v>
      </c>
    </row>
    <row r="399" spans="1:5" x14ac:dyDescent="0.2">
      <c r="A399" s="14">
        <v>46121</v>
      </c>
      <c r="B399" s="15">
        <v>3.7709999999999999</v>
      </c>
      <c r="C399" s="15">
        <v>4.2759999999999998</v>
      </c>
      <c r="D399" s="16">
        <f t="shared" si="12"/>
        <v>-1.8000000000000238</v>
      </c>
      <c r="E399" s="16">
        <f t="shared" si="13"/>
        <v>-1.7000000000000348</v>
      </c>
    </row>
    <row r="400" spans="1:5" x14ac:dyDescent="0.2">
      <c r="A400" s="14">
        <v>46122</v>
      </c>
      <c r="B400" s="15">
        <v>3.798</v>
      </c>
      <c r="C400" s="15">
        <v>4.319</v>
      </c>
      <c r="D400" s="16">
        <f t="shared" si="12"/>
        <v>2.7000000000000135</v>
      </c>
      <c r="E400" s="16">
        <f t="shared" si="13"/>
        <v>4.3000000000000149</v>
      </c>
    </row>
    <row r="401" spans="1:5" x14ac:dyDescent="0.2">
      <c r="A401" s="14">
        <v>46125</v>
      </c>
      <c r="B401" s="15">
        <v>3.7749999999999999</v>
      </c>
      <c r="C401" s="15">
        <v>4.2939999999999996</v>
      </c>
      <c r="D401" s="16">
        <f t="shared" si="12"/>
        <v>-2.3000000000000131</v>
      </c>
      <c r="E401" s="16">
        <f t="shared" si="13"/>
        <v>-2.5000000000000355</v>
      </c>
    </row>
    <row r="402" spans="1:5" x14ac:dyDescent="0.2">
      <c r="A402" s="14">
        <v>46126</v>
      </c>
      <c r="B402" s="15">
        <v>3.7469999999999999</v>
      </c>
      <c r="C402" s="15">
        <v>4.2489999999999997</v>
      </c>
      <c r="D402" s="16">
        <f t="shared" si="12"/>
        <v>-2.8000000000000025</v>
      </c>
      <c r="E402" s="16">
        <f t="shared" si="13"/>
        <v>-4.4999999999999929</v>
      </c>
    </row>
    <row r="403" spans="1:5" x14ac:dyDescent="0.2">
      <c r="A403" s="14">
        <v>46127</v>
      </c>
      <c r="B403" s="15">
        <v>3.7650000000000001</v>
      </c>
      <c r="C403" s="15">
        <v>4.2850000000000001</v>
      </c>
      <c r="D403" s="16">
        <f t="shared" si="12"/>
        <v>1.8000000000000238</v>
      </c>
      <c r="E403" s="16">
        <f t="shared" si="13"/>
        <v>3.6000000000000476</v>
      </c>
    </row>
    <row r="404" spans="1:5" x14ac:dyDescent="0.2">
      <c r="A404" s="14">
        <v>46128</v>
      </c>
      <c r="B404" s="15">
        <v>3.778</v>
      </c>
      <c r="C404" s="15">
        <v>4.3129999999999997</v>
      </c>
      <c r="D404" s="16">
        <f t="shared" si="12"/>
        <v>1.2999999999999901</v>
      </c>
      <c r="E404" s="16">
        <f t="shared" si="13"/>
        <v>2.7999999999999581</v>
      </c>
    </row>
    <row r="405" spans="1:5" x14ac:dyDescent="0.2">
      <c r="A405" s="14">
        <v>46129</v>
      </c>
      <c r="B405" s="15">
        <v>3.7090000000000001</v>
      </c>
      <c r="C405" s="15">
        <v>4.25</v>
      </c>
      <c r="D405" s="16">
        <f t="shared" si="12"/>
        <v>-6.899999999999995</v>
      </c>
      <c r="E405" s="16">
        <f t="shared" si="13"/>
        <v>-6.2999999999999723</v>
      </c>
    </row>
    <row r="406" spans="1:5" x14ac:dyDescent="0.2">
      <c r="A406" s="14">
        <v>46132</v>
      </c>
      <c r="B406" s="15">
        <v>3.7240000000000002</v>
      </c>
      <c r="C406" s="15">
        <v>4.2519999999999998</v>
      </c>
      <c r="D406" s="16">
        <f t="shared" si="12"/>
        <v>1.5000000000000124</v>
      </c>
      <c r="E406" s="16">
        <f t="shared" si="13"/>
        <v>0.19999999999997797</v>
      </c>
    </row>
    <row r="407" spans="1:5" x14ac:dyDescent="0.2">
      <c r="A407" s="14">
        <v>46133</v>
      </c>
      <c r="B407" s="15">
        <v>3.782</v>
      </c>
      <c r="C407" s="15">
        <v>4.2930000000000001</v>
      </c>
      <c r="D407" s="16">
        <f t="shared" si="12"/>
        <v>5.7999999999999829</v>
      </c>
      <c r="E407" s="16">
        <f t="shared" si="13"/>
        <v>4.1000000000000369</v>
      </c>
    </row>
    <row r="408" spans="1:5" x14ac:dyDescent="0.2">
      <c r="A408" s="14">
        <v>46134</v>
      </c>
      <c r="B408" s="15">
        <v>3.8010000000000002</v>
      </c>
      <c r="C408" s="15">
        <v>4.3029999999999999</v>
      </c>
      <c r="D408" s="16">
        <f t="shared" si="12"/>
        <v>1.9000000000000128</v>
      </c>
      <c r="E408" s="16">
        <f t="shared" si="13"/>
        <v>0.99999999999997868</v>
      </c>
    </row>
    <row r="409" spans="1:5" x14ac:dyDescent="0.2">
      <c r="A409" s="14">
        <v>46135</v>
      </c>
      <c r="B409" s="15">
        <v>3.8370000000000002</v>
      </c>
      <c r="C409" s="15">
        <v>4.3259999999999996</v>
      </c>
      <c r="D409" s="16">
        <f t="shared" si="12"/>
        <v>3.6000000000000032</v>
      </c>
      <c r="E409" s="16">
        <f t="shared" si="13"/>
        <v>2.2999999999999687</v>
      </c>
    </row>
    <row r="410" spans="1:5" x14ac:dyDescent="0.2">
      <c r="A410" s="14">
        <v>46136</v>
      </c>
      <c r="B410" s="15">
        <v>3.78</v>
      </c>
      <c r="C410" s="15">
        <v>4.3019999999999996</v>
      </c>
      <c r="D410" s="16">
        <f t="shared" si="12"/>
        <v>-5.7000000000000384</v>
      </c>
      <c r="E410" s="16">
        <f t="shared" si="13"/>
        <v>-2.4000000000000021</v>
      </c>
    </row>
    <row r="411" spans="1:5" x14ac:dyDescent="0.2">
      <c r="A411" s="14">
        <v>46139</v>
      </c>
      <c r="B411" s="15">
        <v>3.7989999999999999</v>
      </c>
      <c r="C411" s="15">
        <v>4.3410000000000002</v>
      </c>
      <c r="D411" s="16">
        <f t="shared" si="12"/>
        <v>1.9000000000000128</v>
      </c>
      <c r="E411" s="16">
        <f t="shared" si="13"/>
        <v>3.900000000000059</v>
      </c>
    </row>
    <row r="412" spans="1:5" x14ac:dyDescent="0.2">
      <c r="A412" s="14">
        <v>46140</v>
      </c>
      <c r="B412" s="15">
        <v>3.8370000000000002</v>
      </c>
      <c r="C412" s="15">
        <v>4.3470000000000004</v>
      </c>
      <c r="D412" s="16">
        <f t="shared" si="12"/>
        <v>3.8000000000000256</v>
      </c>
      <c r="E412" s="16">
        <f t="shared" si="13"/>
        <v>0.60000000000002274</v>
      </c>
    </row>
    <row r="413" spans="1:5" x14ac:dyDescent="0.2">
      <c r="A413" s="14">
        <v>46141</v>
      </c>
      <c r="B413" s="15">
        <v>3.95</v>
      </c>
      <c r="C413" s="15">
        <v>4.431</v>
      </c>
      <c r="D413" s="16">
        <f t="shared" si="12"/>
        <v>11.299999999999999</v>
      </c>
      <c r="E413" s="16">
        <f t="shared" si="13"/>
        <v>8.3999999999999631</v>
      </c>
    </row>
    <row r="414" spans="1:5" x14ac:dyDescent="0.2">
      <c r="A414" s="14">
        <v>46142</v>
      </c>
      <c r="B414" s="15">
        <v>3.8719999999999999</v>
      </c>
      <c r="C414" s="15">
        <v>4.3719999999999999</v>
      </c>
      <c r="D414" s="16">
        <f t="shared" si="12"/>
        <v>-7.8000000000000291</v>
      </c>
      <c r="E414" s="16">
        <f t="shared" si="13"/>
        <v>-5.9000000000000163</v>
      </c>
    </row>
    <row r="415" spans="1:5" x14ac:dyDescent="0.2">
      <c r="A415" s="14">
        <v>46143</v>
      </c>
      <c r="B415" s="15">
        <v>3.88</v>
      </c>
      <c r="C415" s="15">
        <v>4.3710000000000004</v>
      </c>
      <c r="D415" s="16">
        <f t="shared" si="12"/>
        <v>0.80000000000000071</v>
      </c>
      <c r="E415" s="16">
        <f t="shared" si="13"/>
        <v>-9.9999999999944578E-2</v>
      </c>
    </row>
    <row r="416" spans="1:5" x14ac:dyDescent="0.2">
      <c r="A416" s="14">
        <v>46146</v>
      </c>
      <c r="B416" s="15">
        <v>3.9540000000000002</v>
      </c>
      <c r="C416" s="15">
        <v>4.4390000000000001</v>
      </c>
      <c r="D416" s="16">
        <f t="shared" si="12"/>
        <v>7.4000000000000288</v>
      </c>
      <c r="E416" s="16">
        <f t="shared" si="13"/>
        <v>6.7999999999999616</v>
      </c>
    </row>
    <row r="417" spans="1:5" x14ac:dyDescent="0.2">
      <c r="A417" s="14">
        <v>46147</v>
      </c>
      <c r="B417" s="15">
        <v>3.9430000000000001</v>
      </c>
      <c r="C417" s="15">
        <v>4.4249999999999998</v>
      </c>
      <c r="D417" s="16">
        <f t="shared" si="12"/>
        <v>-1.1000000000000121</v>
      </c>
      <c r="E417" s="16">
        <f t="shared" si="13"/>
        <v>-1.4000000000000234</v>
      </c>
    </row>
    <row r="418" spans="1:5" x14ac:dyDescent="0.2">
      <c r="A418" s="14">
        <v>46148</v>
      </c>
      <c r="B418" s="15">
        <v>3.8660000000000001</v>
      </c>
      <c r="C418" s="15">
        <v>4.3490000000000002</v>
      </c>
      <c r="D418" s="16">
        <f t="shared" si="12"/>
        <v>-7.6999999999999957</v>
      </c>
      <c r="E418" s="16">
        <f t="shared" si="13"/>
        <v>-7.5999999999999623</v>
      </c>
    </row>
    <row r="419" spans="1:5" x14ac:dyDescent="0.2">
      <c r="A419" s="14">
        <v>46149</v>
      </c>
      <c r="B419" s="15">
        <v>3.9119999999999999</v>
      </c>
      <c r="C419" s="15">
        <v>4.3869999999999996</v>
      </c>
      <c r="D419" s="16">
        <f t="shared" si="12"/>
        <v>4.5999999999999819</v>
      </c>
      <c r="E419" s="16">
        <f t="shared" si="13"/>
        <v>3.7999999999999368</v>
      </c>
    </row>
    <row r="420" spans="1:5" x14ac:dyDescent="0.2">
      <c r="A420" s="14">
        <v>46150</v>
      </c>
      <c r="B420" s="15">
        <v>3.8860000000000001</v>
      </c>
      <c r="C420" s="15">
        <v>4.3550000000000004</v>
      </c>
      <c r="D420" s="16">
        <f t="shared" si="12"/>
        <v>-2.5999999999999801</v>
      </c>
      <c r="E420" s="16">
        <f t="shared" si="13"/>
        <v>-3.199999999999914</v>
      </c>
    </row>
    <row r="421" spans="1:5" x14ac:dyDescent="0.2">
      <c r="A421" s="14">
        <v>46153</v>
      </c>
      <c r="B421" s="15">
        <v>3.9550000000000001</v>
      </c>
      <c r="C421" s="15">
        <v>4.4139999999999997</v>
      </c>
      <c r="D421" s="16">
        <f t="shared" si="12"/>
        <v>6.899999999999995</v>
      </c>
      <c r="E421" s="16">
        <f t="shared" si="13"/>
        <v>5.8999999999999275</v>
      </c>
    </row>
    <row r="422" spans="1:5" x14ac:dyDescent="0.2">
      <c r="A422" s="14">
        <v>46154</v>
      </c>
      <c r="B422" s="15">
        <v>3.992</v>
      </c>
      <c r="C422" s="15">
        <v>4.4630000000000001</v>
      </c>
      <c r="D422" s="16">
        <f t="shared" si="12"/>
        <v>3.6999999999999922</v>
      </c>
      <c r="E422" s="16">
        <f t="shared" si="13"/>
        <v>4.9000000000000377</v>
      </c>
    </row>
    <row r="423" spans="1:5" x14ac:dyDescent="0.2">
      <c r="A423" s="14">
        <v>46155</v>
      </c>
      <c r="B423" s="15">
        <v>3.9809999999999999</v>
      </c>
      <c r="C423" s="15">
        <v>4.4690000000000003</v>
      </c>
      <c r="D423" s="16">
        <f t="shared" si="12"/>
        <v>-1.1000000000000121</v>
      </c>
      <c r="E423" s="16">
        <f t="shared" si="13"/>
        <v>0.60000000000002274</v>
      </c>
    </row>
    <row r="424" spans="1:5" x14ac:dyDescent="0.2">
      <c r="A424" s="14">
        <v>46156</v>
      </c>
      <c r="B424" s="15">
        <v>4.0199999999999996</v>
      </c>
      <c r="C424" s="15">
        <v>4.4829999999999997</v>
      </c>
      <c r="D424" s="16">
        <f t="shared" si="12"/>
        <v>3.8999999999999702</v>
      </c>
      <c r="E424" s="16">
        <f t="shared" si="13"/>
        <v>1.3999999999999346</v>
      </c>
    </row>
    <row r="425" spans="1:5" x14ac:dyDescent="0.2">
      <c r="A425" s="14">
        <v>46157</v>
      </c>
      <c r="B425" s="15">
        <v>4.0720000000000001</v>
      </c>
      <c r="C425" s="15">
        <v>4.5940000000000003</v>
      </c>
      <c r="D425" s="16">
        <f t="shared" si="12"/>
        <v>5.200000000000049</v>
      </c>
      <c r="E425" s="16">
        <f t="shared" si="13"/>
        <v>11.100000000000065</v>
      </c>
    </row>
    <row r="426" spans="1:5" x14ac:dyDescent="0.2">
      <c r="A426" s="14">
        <v>46160</v>
      </c>
      <c r="B426" s="15">
        <v>4.0460000000000003</v>
      </c>
      <c r="C426" s="15">
        <v>4.5880000000000001</v>
      </c>
      <c r="D426" s="16">
        <f t="shared" si="12"/>
        <v>-2.5999999999999801</v>
      </c>
      <c r="E426" s="16">
        <f t="shared" si="13"/>
        <v>-0.60000000000002274</v>
      </c>
    </row>
    <row r="427" spans="1:5" x14ac:dyDescent="0.2">
      <c r="A427" s="14">
        <v>46161</v>
      </c>
      <c r="B427" s="15">
        <v>4.12</v>
      </c>
      <c r="C427" s="15">
        <v>4.6669999999999998</v>
      </c>
      <c r="D427" s="16">
        <f t="shared" si="12"/>
        <v>7.3999999999999844</v>
      </c>
      <c r="E427" s="16">
        <f t="shared" si="13"/>
        <v>7.8999999999999737</v>
      </c>
    </row>
    <row r="428" spans="1:5" x14ac:dyDescent="0.2">
      <c r="A428" s="14">
        <v>46162</v>
      </c>
      <c r="B428" s="15">
        <v>4.056</v>
      </c>
      <c r="C428" s="15">
        <v>4.5860000000000003</v>
      </c>
      <c r="D428" s="16">
        <f t="shared" si="12"/>
        <v>-6.4000000000000057</v>
      </c>
      <c r="E428" s="16">
        <f t="shared" si="13"/>
        <v>-8.0999999999999517</v>
      </c>
    </row>
    <row r="429" spans="1:5" x14ac:dyDescent="0.2">
      <c r="A429" s="14">
        <v>46163</v>
      </c>
      <c r="B429" s="15">
        <v>4.0839999999999996</v>
      </c>
      <c r="C429" s="15">
        <v>4.5720000000000001</v>
      </c>
      <c r="D429" s="16">
        <f t="shared" si="12"/>
        <v>2.7999999999999581</v>
      </c>
      <c r="E429" s="16">
        <f t="shared" si="13"/>
        <v>-1.4000000000000234</v>
      </c>
    </row>
    <row r="430" spans="1:5" x14ac:dyDescent="0.2">
      <c r="A430" s="14">
        <v>46164</v>
      </c>
      <c r="B430" s="15">
        <v>4.1230000000000002</v>
      </c>
      <c r="C430" s="15">
        <v>4.5590000000000002</v>
      </c>
      <c r="D430" s="16">
        <f t="shared" si="12"/>
        <v>3.900000000000059</v>
      </c>
      <c r="E430" s="16">
        <f t="shared" si="13"/>
        <v>-1.2999999999999901</v>
      </c>
    </row>
    <row r="431" spans="1:5" x14ac:dyDescent="0.2">
      <c r="A431" s="14">
        <v>46167</v>
      </c>
      <c r="B431" s="15">
        <v>4.1230000000000002</v>
      </c>
      <c r="C431" s="15">
        <v>4.5590000000000002</v>
      </c>
      <c r="D431" s="16">
        <f t="shared" si="12"/>
        <v>0</v>
      </c>
      <c r="E431" s="16">
        <f t="shared" si="13"/>
        <v>0</v>
      </c>
    </row>
    <row r="432" spans="1:5" x14ac:dyDescent="0.2">
      <c r="A432" s="14">
        <v>46168</v>
      </c>
      <c r="B432" s="15">
        <v>4.0330000000000004</v>
      </c>
      <c r="C432" s="15">
        <v>4.4859999999999998</v>
      </c>
      <c r="D432" s="16">
        <f t="shared" si="12"/>
        <v>-8.9999999999999858</v>
      </c>
      <c r="E432" s="16">
        <f t="shared" si="13"/>
        <v>-7.3000000000000398</v>
      </c>
    </row>
    <row r="433" spans="1:5" x14ac:dyDescent="0.2">
      <c r="A433" s="14">
        <v>46169</v>
      </c>
      <c r="B433" s="15">
        <v>4.0339999999999998</v>
      </c>
      <c r="C433" s="15">
        <v>4.484</v>
      </c>
      <c r="D433" s="16">
        <f t="shared" si="12"/>
        <v>9.9999999999944578E-2</v>
      </c>
      <c r="E433" s="16">
        <f t="shared" si="13"/>
        <v>-0.19999999999997797</v>
      </c>
    </row>
    <row r="434" spans="1:5" x14ac:dyDescent="0.2">
      <c r="A434" s="14">
        <v>46170</v>
      </c>
      <c r="B434" s="15">
        <v>4.0229999999999997</v>
      </c>
      <c r="C434" s="15">
        <v>4.4480000000000004</v>
      </c>
      <c r="D434" s="16">
        <f t="shared" si="12"/>
        <v>-1.1000000000000121</v>
      </c>
      <c r="E434" s="16">
        <f t="shared" si="13"/>
        <v>-3.5999999999999588</v>
      </c>
    </row>
    <row r="435" spans="1:5" x14ac:dyDescent="0.2">
      <c r="A435" s="14">
        <v>46171</v>
      </c>
      <c r="B435" s="15">
        <v>4.0049999999999999</v>
      </c>
      <c r="C435" s="15">
        <v>4.4370000000000003</v>
      </c>
      <c r="D435" s="16">
        <f t="shared" si="12"/>
        <v>-1.7999999999999794</v>
      </c>
      <c r="E435" s="16">
        <f t="shared" si="13"/>
        <v>-1.1000000000000121</v>
      </c>
    </row>
    <row r="436" spans="1:5" x14ac:dyDescent="0.2">
      <c r="A436" s="14">
        <v>46174</v>
      </c>
      <c r="B436" s="15">
        <v>4.0339999999999998</v>
      </c>
      <c r="C436" s="15">
        <v>4.4539999999999997</v>
      </c>
      <c r="D436" s="16">
        <f t="shared" si="12"/>
        <v>2.8999999999999915</v>
      </c>
      <c r="E436" s="16">
        <f t="shared" si="13"/>
        <v>1.699999999999946</v>
      </c>
    </row>
    <row r="437" spans="1:5" x14ac:dyDescent="0.2">
      <c r="A437" s="14">
        <v>46175</v>
      </c>
      <c r="B437" s="15">
        <v>4.0439999999999996</v>
      </c>
      <c r="C437" s="15">
        <v>4.444</v>
      </c>
      <c r="D437" s="16">
        <f t="shared" si="12"/>
        <v>0.99999999999997868</v>
      </c>
      <c r="E437" s="16">
        <f t="shared" si="13"/>
        <v>-0.99999999999997868</v>
      </c>
    </row>
    <row r="438" spans="1:5" x14ac:dyDescent="0.2">
      <c r="A438" s="14">
        <v>46176</v>
      </c>
      <c r="B438" s="15">
        <v>4.0830000000000002</v>
      </c>
      <c r="C438" s="15">
        <v>4.4960000000000004</v>
      </c>
      <c r="D438" s="16">
        <f t="shared" si="12"/>
        <v>3.900000000000059</v>
      </c>
      <c r="E438" s="16">
        <f t="shared" si="13"/>
        <v>5.200000000000049</v>
      </c>
    </row>
    <row r="439" spans="1:5" x14ac:dyDescent="0.2">
      <c r="A439" s="14">
        <v>46177</v>
      </c>
      <c r="B439" s="15">
        <v>4.0449999999999999</v>
      </c>
      <c r="C439" s="15">
        <v>4.4749999999999996</v>
      </c>
      <c r="D439" s="16">
        <f t="shared" si="12"/>
        <v>-3.8000000000000256</v>
      </c>
      <c r="E439" s="16">
        <f t="shared" si="13"/>
        <v>-2.1000000000000796</v>
      </c>
    </row>
    <row r="440" spans="1:5" x14ac:dyDescent="0.2">
      <c r="A440" s="14">
        <v>46178</v>
      </c>
      <c r="B440" s="15">
        <v>4.1479999999999997</v>
      </c>
      <c r="C440" s="15">
        <v>4.5309999999999997</v>
      </c>
      <c r="D440" s="16">
        <f t="shared" si="12"/>
        <v>10.299999999999976</v>
      </c>
      <c r="E440" s="16">
        <f t="shared" si="13"/>
        <v>5.600000000000005</v>
      </c>
    </row>
    <row r="441" spans="1:5" x14ac:dyDescent="0.2">
      <c r="A441" s="14">
        <v>46181</v>
      </c>
      <c r="B441" s="15">
        <v>4.1639999999999997</v>
      </c>
      <c r="C441" s="15">
        <v>4.5640000000000001</v>
      </c>
      <c r="D441" s="16">
        <f t="shared" si="12"/>
        <v>1.6000000000000014</v>
      </c>
      <c r="E441" s="16">
        <f t="shared" si="13"/>
        <v>3.3000000000000362</v>
      </c>
    </row>
    <row r="442" spans="1:5" x14ac:dyDescent="0.2">
      <c r="A442" s="14">
        <v>46182</v>
      </c>
      <c r="B442" s="15">
        <v>4.1189999999999998</v>
      </c>
      <c r="C442" s="15">
        <v>4.5179999999999998</v>
      </c>
      <c r="D442" s="16">
        <f t="shared" si="12"/>
        <v>-4.4999999999999929</v>
      </c>
      <c r="E442" s="16">
        <f t="shared" si="13"/>
        <v>-4.6000000000000263</v>
      </c>
    </row>
    <row r="443" spans="1:5" x14ac:dyDescent="0.2">
      <c r="A443" s="14">
        <v>46183</v>
      </c>
      <c r="B443" s="15">
        <v>4.1449999999999996</v>
      </c>
      <c r="C443" s="15">
        <v>4.5529999999999999</v>
      </c>
      <c r="D443" s="16">
        <f t="shared" si="12"/>
        <v>2.5999999999999801</v>
      </c>
      <c r="E443" s="16">
        <f t="shared" si="13"/>
        <v>3.5000000000000142</v>
      </c>
    </row>
    <row r="444" spans="1:5" x14ac:dyDescent="0.2">
      <c r="A444" s="14">
        <v>46184</v>
      </c>
      <c r="B444" s="15">
        <v>4.0629999999999997</v>
      </c>
      <c r="C444" s="15">
        <v>4.4619999999999997</v>
      </c>
      <c r="D444" s="16">
        <f t="shared" si="12"/>
        <v>-8.1999999999999851</v>
      </c>
      <c r="E444" s="16">
        <f t="shared" si="13"/>
        <v>-9.1000000000000192</v>
      </c>
    </row>
    <row r="445" spans="1:5" x14ac:dyDescent="0.2">
      <c r="A445" s="14">
        <v>46185</v>
      </c>
      <c r="B445" s="15">
        <v>4.0819999999999999</v>
      </c>
      <c r="C445" s="15">
        <v>4.4809999999999999</v>
      </c>
      <c r="D445" s="16">
        <f t="shared" si="12"/>
        <v>1.9000000000000128</v>
      </c>
      <c r="E445" s="16">
        <f t="shared" si="13"/>
        <v>1.9000000000000128</v>
      </c>
    </row>
    <row r="446" spans="1:5" x14ac:dyDescent="0.2">
      <c r="A446" s="14">
        <v>46188</v>
      </c>
      <c r="B446" s="15">
        <v>4.069</v>
      </c>
      <c r="C446" s="15">
        <v>4.4749999999999996</v>
      </c>
      <c r="D446" s="16">
        <f t="shared" si="12"/>
        <v>-1.2999999999999901</v>
      </c>
      <c r="E446" s="16">
        <f t="shared" si="13"/>
        <v>-0.60000000000002274</v>
      </c>
    </row>
    <row r="447" spans="1:5" x14ac:dyDescent="0.2">
      <c r="A447" s="14">
        <v>46189</v>
      </c>
      <c r="B447" s="15">
        <v>4.0549999999999997</v>
      </c>
      <c r="C447" s="15">
        <v>4.4400000000000004</v>
      </c>
      <c r="D447" s="16">
        <f t="shared" si="12"/>
        <v>-1.4000000000000234</v>
      </c>
      <c r="E447" s="16">
        <f t="shared" si="13"/>
        <v>-3.4999999999999254</v>
      </c>
    </row>
    <row r="448" spans="1:5" x14ac:dyDescent="0.2">
      <c r="A448" s="14">
        <v>46190</v>
      </c>
      <c r="B448" s="15">
        <v>4.1859999999999999</v>
      </c>
      <c r="C448" s="15">
        <v>4.4889999999999999</v>
      </c>
      <c r="D448" s="16">
        <f t="shared" si="12"/>
        <v>13.100000000000023</v>
      </c>
      <c r="E448" s="16">
        <f t="shared" si="13"/>
        <v>4.8999999999999488</v>
      </c>
    </row>
    <row r="449" spans="1:5" x14ac:dyDescent="0.2">
      <c r="A449" s="14">
        <v>46191</v>
      </c>
      <c r="B449" s="15">
        <v>4.18</v>
      </c>
      <c r="C449" s="15">
        <v>4.4550000000000001</v>
      </c>
      <c r="D449" s="16">
        <f t="shared" si="12"/>
        <v>-0.60000000000002274</v>
      </c>
      <c r="E449" s="16">
        <f t="shared" si="13"/>
        <v>-3.3999999999999808</v>
      </c>
    </row>
    <row r="450" spans="1:5" x14ac:dyDescent="0.2">
      <c r="A450" s="14">
        <v>46192</v>
      </c>
      <c r="B450" s="15">
        <v>4.18</v>
      </c>
      <c r="C450" s="15">
        <v>4.4550000000000001</v>
      </c>
      <c r="D450" s="16">
        <f t="shared" si="12"/>
        <v>0</v>
      </c>
      <c r="E450" s="16">
        <f t="shared" si="13"/>
        <v>0</v>
      </c>
    </row>
    <row r="451" spans="1:5" x14ac:dyDescent="0.2">
      <c r="A451" s="14">
        <v>46195</v>
      </c>
      <c r="B451" s="15">
        <v>4.2279999999999998</v>
      </c>
      <c r="C451" s="15">
        <v>4.51</v>
      </c>
      <c r="D451" s="16">
        <f t="shared" si="12"/>
        <v>4.8000000000000043</v>
      </c>
      <c r="E451" s="16">
        <f t="shared" si="13"/>
        <v>5.4999999999999716</v>
      </c>
    </row>
    <row r="452" spans="1:5" x14ac:dyDescent="0.2">
      <c r="A452" s="14">
        <v>46196</v>
      </c>
      <c r="B452" s="15">
        <v>4.1989999999999998</v>
      </c>
      <c r="C452" s="15">
        <v>4.4980000000000002</v>
      </c>
      <c r="D452" s="16">
        <f t="shared" ref="D452:D515" si="14">100*(B452-B451)</f>
        <v>-2.8999999999999915</v>
      </c>
      <c r="E452" s="16">
        <f t="shared" ref="E452:E515" si="15">100*(C452-C451)</f>
        <v>-1.1999999999999567</v>
      </c>
    </row>
    <row r="453" spans="1:5" x14ac:dyDescent="0.2">
      <c r="A453" s="14">
        <v>46197</v>
      </c>
      <c r="B453" s="15">
        <v>4.1479999999999997</v>
      </c>
      <c r="C453" s="15">
        <v>4.3929999999999998</v>
      </c>
      <c r="D453" s="16">
        <f t="shared" si="14"/>
        <v>-5.1000000000000156</v>
      </c>
      <c r="E453" s="16">
        <f t="shared" si="15"/>
        <v>-10.500000000000043</v>
      </c>
    </row>
    <row r="454" spans="1:5" x14ac:dyDescent="0.2">
      <c r="A454" s="14">
        <v>46198</v>
      </c>
      <c r="B454" s="15">
        <v>4.1239999999999997</v>
      </c>
      <c r="C454" s="15">
        <v>4.3940000000000001</v>
      </c>
      <c r="D454" s="16">
        <f t="shared" si="14"/>
        <v>-2.4000000000000021</v>
      </c>
      <c r="E454" s="16">
        <f t="shared" si="15"/>
        <v>0.1000000000000334</v>
      </c>
    </row>
    <row r="455" spans="1:5" x14ac:dyDescent="0.2">
      <c r="A455" s="14">
        <v>46199</v>
      </c>
      <c r="B455" s="15">
        <v>4.093</v>
      </c>
      <c r="C455" s="15">
        <v>4.3710000000000004</v>
      </c>
      <c r="D455" s="16">
        <f t="shared" si="14"/>
        <v>-3.0999999999999694</v>
      </c>
      <c r="E455" s="16">
        <f t="shared" si="15"/>
        <v>-2.2999999999999687</v>
      </c>
    </row>
    <row r="456" spans="1:5" x14ac:dyDescent="0.2">
      <c r="A456" s="14">
        <v>46202</v>
      </c>
      <c r="B456" s="15">
        <v>4.1070000000000002</v>
      </c>
      <c r="C456" s="15">
        <v>4.3760000000000003</v>
      </c>
      <c r="D456" s="16">
        <f t="shared" si="14"/>
        <v>1.4000000000000234</v>
      </c>
      <c r="E456" s="16">
        <f t="shared" si="15"/>
        <v>0.49999999999998934</v>
      </c>
    </row>
    <row r="457" spans="1:5" x14ac:dyDescent="0.2">
      <c r="A457" s="14">
        <v>46203</v>
      </c>
      <c r="B457" s="15">
        <v>4.1749999999999998</v>
      </c>
      <c r="C457" s="15">
        <v>4.4660000000000002</v>
      </c>
      <c r="D457" s="16">
        <f t="shared" si="14"/>
        <v>6.7999999999999616</v>
      </c>
      <c r="E457" s="16">
        <f t="shared" si="15"/>
        <v>8.9999999999999858</v>
      </c>
    </row>
    <row r="458" spans="1:5" x14ac:dyDescent="0.2">
      <c r="A458" s="14">
        <v>46204</v>
      </c>
      <c r="B458" s="15">
        <v>4.1769999999999996</v>
      </c>
      <c r="C458" s="15">
        <v>4.4800000000000004</v>
      </c>
      <c r="D458" s="16">
        <f t="shared" si="14"/>
        <v>0.19999999999997797</v>
      </c>
      <c r="E458" s="16">
        <f t="shared" si="15"/>
        <v>1.4000000000000234</v>
      </c>
    </row>
    <row r="459" spans="1:5" x14ac:dyDescent="0.2">
      <c r="A459" s="14">
        <v>46205</v>
      </c>
      <c r="B459" s="15">
        <v>4.1379999999999999</v>
      </c>
      <c r="C459" s="15">
        <v>4.4850000000000003</v>
      </c>
      <c r="D459" s="16">
        <f t="shared" si="14"/>
        <v>-3.8999999999999702</v>
      </c>
      <c r="E459" s="16">
        <f t="shared" si="15"/>
        <v>0.49999999999998934</v>
      </c>
    </row>
    <row r="460" spans="1:5" x14ac:dyDescent="0.2">
      <c r="A460" s="14">
        <v>46206</v>
      </c>
      <c r="B460" s="15">
        <v>4.1379999999999999</v>
      </c>
      <c r="C460" s="15">
        <v>4.4850000000000003</v>
      </c>
      <c r="D460" s="16">
        <f t="shared" si="14"/>
        <v>0</v>
      </c>
      <c r="E460" s="16">
        <f t="shared" si="15"/>
        <v>0</v>
      </c>
    </row>
    <row r="461" spans="1:5" x14ac:dyDescent="0.2">
      <c r="A461" s="14">
        <v>46209</v>
      </c>
      <c r="B461" s="15">
        <v>4.1120000000000001</v>
      </c>
      <c r="C461" s="15">
        <v>4.47</v>
      </c>
      <c r="D461" s="16">
        <f t="shared" si="14"/>
        <v>-2.5999999999999801</v>
      </c>
      <c r="E461" s="16">
        <f t="shared" si="15"/>
        <v>-1.5000000000000568</v>
      </c>
    </row>
    <row r="462" spans="1:5" x14ac:dyDescent="0.2">
      <c r="A462" s="14">
        <v>46210</v>
      </c>
      <c r="B462" s="15">
        <v>4.1870000000000003</v>
      </c>
      <c r="C462" s="15">
        <v>4.5519999999999996</v>
      </c>
      <c r="D462" s="16">
        <f t="shared" si="14"/>
        <v>7.5000000000000178</v>
      </c>
      <c r="E462" s="16">
        <f t="shared" si="15"/>
        <v>8.1999999999999851</v>
      </c>
    </row>
    <row r="463" spans="1:5" x14ac:dyDescent="0.2">
      <c r="A463" s="14">
        <v>46211</v>
      </c>
      <c r="B463" s="15">
        <v>4.22</v>
      </c>
      <c r="C463" s="15">
        <v>4.5810000000000004</v>
      </c>
      <c r="D463" s="16">
        <f t="shared" si="14"/>
        <v>3.2999999999999474</v>
      </c>
      <c r="E463" s="16">
        <f t="shared" si="15"/>
        <v>2.9000000000000803</v>
      </c>
    </row>
    <row r="464" spans="1:5" x14ac:dyDescent="0.2">
      <c r="A464" s="14">
        <v>46212</v>
      </c>
      <c r="B464" s="15">
        <v>4.1790000000000003</v>
      </c>
      <c r="C464" s="15">
        <v>4.5529999999999999</v>
      </c>
      <c r="D464" s="16">
        <f t="shared" si="14"/>
        <v>-4.0999999999999481</v>
      </c>
      <c r="E464" s="16">
        <f t="shared" si="15"/>
        <v>-2.8000000000000469</v>
      </c>
    </row>
    <row r="465" spans="1:5" x14ac:dyDescent="0.2">
      <c r="A465" s="14">
        <v>46213</v>
      </c>
      <c r="B465" s="15">
        <v>4.2089999999999996</v>
      </c>
      <c r="C465" s="15">
        <v>4.5620000000000003</v>
      </c>
      <c r="D465" s="16">
        <f t="shared" si="14"/>
        <v>2.9999999999999361</v>
      </c>
      <c r="E465" s="16">
        <f t="shared" si="15"/>
        <v>0.90000000000003411</v>
      </c>
    </row>
    <row r="466" spans="1:5" x14ac:dyDescent="0.2">
      <c r="A466" s="14">
        <v>46216</v>
      </c>
      <c r="B466" s="15">
        <v>4.2850000000000001</v>
      </c>
      <c r="C466" s="15">
        <v>4.625</v>
      </c>
      <c r="D466" s="16">
        <f t="shared" si="14"/>
        <v>7.6000000000000512</v>
      </c>
      <c r="E466" s="16">
        <f t="shared" si="15"/>
        <v>6.2999999999999723</v>
      </c>
    </row>
    <row r="467" spans="1:5" x14ac:dyDescent="0.2">
      <c r="A467" s="14">
        <v>46217</v>
      </c>
      <c r="B467" s="15">
        <v>4.1950000000000003</v>
      </c>
      <c r="C467" s="15">
        <v>4.5910000000000002</v>
      </c>
      <c r="D467" s="16">
        <f t="shared" si="14"/>
        <v>-8.9999999999999858</v>
      </c>
      <c r="E467" s="16">
        <f t="shared" si="15"/>
        <v>-3.3999999999999808</v>
      </c>
    </row>
    <row r="468" spans="1:5" x14ac:dyDescent="0.2">
      <c r="A468" s="14">
        <v>46218</v>
      </c>
      <c r="B468" s="15">
        <v>4.1360000000000001</v>
      </c>
      <c r="C468" s="15">
        <v>4.5490000000000004</v>
      </c>
      <c r="D468" s="16">
        <f t="shared" si="14"/>
        <v>-5.9000000000000163</v>
      </c>
      <c r="E468" s="16">
        <f t="shared" si="15"/>
        <v>-4.1999999999999815</v>
      </c>
    </row>
    <row r="469" spans="1:5" x14ac:dyDescent="0.2">
      <c r="A469" s="14">
        <v>46219</v>
      </c>
      <c r="B469" s="15">
        <v>4.1420000000000003</v>
      </c>
      <c r="C469" s="15">
        <v>4.5540000000000003</v>
      </c>
      <c r="D469" s="16">
        <f t="shared" si="14"/>
        <v>0.60000000000002274</v>
      </c>
      <c r="E469" s="16">
        <f t="shared" si="15"/>
        <v>0.49999999999998934</v>
      </c>
    </row>
    <row r="470" spans="1:5" x14ac:dyDescent="0.2">
      <c r="A470" s="14">
        <v>46220</v>
      </c>
      <c r="B470" s="15">
        <v>4.18</v>
      </c>
      <c r="C470" s="15">
        <v>4.5490000000000004</v>
      </c>
      <c r="D470" s="16">
        <f t="shared" si="14"/>
        <v>3.7999999999999368</v>
      </c>
      <c r="E470" s="16">
        <f t="shared" si="15"/>
        <v>-0.49999999999998934</v>
      </c>
    </row>
    <row r="471" spans="1:5" x14ac:dyDescent="0.2">
      <c r="A471" s="14">
        <v>46223</v>
      </c>
      <c r="B471" s="15">
        <v>4.2089999999999996</v>
      </c>
      <c r="C471" s="15">
        <v>4.593</v>
      </c>
      <c r="D471" s="16">
        <f t="shared" si="14"/>
        <v>2.8999999999999915</v>
      </c>
      <c r="E471" s="16">
        <f t="shared" si="15"/>
        <v>4.3999999999999595</v>
      </c>
    </row>
    <row r="472" spans="1:5" x14ac:dyDescent="0.2">
      <c r="A472" s="14">
        <v>46224</v>
      </c>
      <c r="B472" s="15">
        <v>4.2640000000000002</v>
      </c>
      <c r="C472" s="15">
        <v>4.6289999999999996</v>
      </c>
      <c r="D472" s="16">
        <f t="shared" si="14"/>
        <v>5.5000000000000604</v>
      </c>
      <c r="E472" s="16">
        <f t="shared" si="15"/>
        <v>3.5999999999999588</v>
      </c>
    </row>
    <row r="473" spans="1:5" x14ac:dyDescent="0.2">
      <c r="A473" s="14">
        <v>46225</v>
      </c>
      <c r="B473" s="15">
        <v>4.2990000000000004</v>
      </c>
      <c r="C473" s="15">
        <v>4.6559999999999997</v>
      </c>
      <c r="D473" s="16">
        <f t="shared" si="14"/>
        <v>3.5000000000000142</v>
      </c>
      <c r="E473" s="16">
        <f t="shared" si="15"/>
        <v>2.7000000000000135</v>
      </c>
    </row>
    <row r="474" spans="1:5" x14ac:dyDescent="0.2">
      <c r="A474" s="14">
        <v>46226</v>
      </c>
      <c r="B474" s="15">
        <v>4.3479999999999999</v>
      </c>
      <c r="C474" s="15">
        <v>4.694</v>
      </c>
      <c r="D474" s="16">
        <f t="shared" si="14"/>
        <v>4.8999999999999488</v>
      </c>
      <c r="E474" s="16">
        <f t="shared" si="15"/>
        <v>3.8000000000000256</v>
      </c>
    </row>
    <row r="475" spans="1:5" x14ac:dyDescent="0.2">
      <c r="A475" s="14">
        <v>46227</v>
      </c>
      <c r="B475" s="15">
        <v>4.3330000000000002</v>
      </c>
      <c r="C475" s="15">
        <v>4.6779999999999999</v>
      </c>
      <c r="D475" s="16">
        <f t="shared" si="14"/>
        <v>-1.499999999999968</v>
      </c>
      <c r="E475" s="16">
        <f t="shared" si="15"/>
        <v>-1.6000000000000014</v>
      </c>
    </row>
    <row r="476" spans="1:5" x14ac:dyDescent="0.2">
      <c r="A476" s="14">
        <v>46230</v>
      </c>
      <c r="B476" s="15">
        <v>4.3230000000000004</v>
      </c>
      <c r="C476" s="15">
        <v>4.6500000000000004</v>
      </c>
      <c r="D476" s="16">
        <f t="shared" si="14"/>
        <v>-0.99999999999997868</v>
      </c>
      <c r="E476" s="16">
        <f t="shared" si="15"/>
        <v>-2.7999999999999581</v>
      </c>
    </row>
    <row r="477" spans="1:5" x14ac:dyDescent="0.2">
      <c r="A477" s="14">
        <v>46231</v>
      </c>
      <c r="B477" s="15">
        <v>4.2880000000000003</v>
      </c>
      <c r="C477" s="15">
        <v>4.6070000000000002</v>
      </c>
      <c r="D477" s="16">
        <f t="shared" si="14"/>
        <v>-3.5000000000000142</v>
      </c>
      <c r="E477" s="16">
        <f t="shared" si="15"/>
        <v>-4.3000000000000149</v>
      </c>
    </row>
    <row r="478" spans="1:5" x14ac:dyDescent="0.2">
      <c r="A478" s="14">
        <v>46232</v>
      </c>
      <c r="B478" s="15">
        <v>4.274</v>
      </c>
      <c r="C478" s="15">
        <v>4.6790000000000003</v>
      </c>
      <c r="D478" s="16">
        <f t="shared" si="14"/>
        <v>-1.4000000000000234</v>
      </c>
      <c r="E478" s="16">
        <f t="shared" si="15"/>
        <v>7.2000000000000064</v>
      </c>
    </row>
    <row r="479" spans="1:5" x14ac:dyDescent="0.2">
      <c r="A479" s="14">
        <v>46233</v>
      </c>
      <c r="B479" s="15">
        <v>4.2469999999999999</v>
      </c>
      <c r="C479" s="15">
        <v>4.6740000000000004</v>
      </c>
      <c r="D479" s="16">
        <f t="shared" si="14"/>
        <v>-2.7000000000000135</v>
      </c>
      <c r="E479" s="16">
        <f t="shared" si="15"/>
        <v>-0.49999999999998934</v>
      </c>
    </row>
    <row r="480" spans="1:5" x14ac:dyDescent="0.2">
      <c r="A480" s="14">
        <v>46234</v>
      </c>
      <c r="B480" s="15">
        <v>4.2919999999999998</v>
      </c>
      <c r="C480" s="15">
        <v>4.7359999999999998</v>
      </c>
      <c r="D480" s="16">
        <f t="shared" si="14"/>
        <v>4.4999999999999929</v>
      </c>
      <c r="E480" s="16">
        <f t="shared" si="15"/>
        <v>6.1999999999999389</v>
      </c>
    </row>
    <row r="481" spans="1:5" x14ac:dyDescent="0.2">
      <c r="A481" s="14">
        <v>46237</v>
      </c>
      <c r="B481" s="15">
        <v>4.2380000000000004</v>
      </c>
      <c r="C481" s="15">
        <v>4.6779999999999999</v>
      </c>
      <c r="D481" s="16">
        <f t="shared" si="14"/>
        <v>-5.3999999999999382</v>
      </c>
      <c r="E481" s="16">
        <f t="shared" si="15"/>
        <v>-5.7999999999999829</v>
      </c>
    </row>
    <row r="482" spans="1:5" x14ac:dyDescent="0.2">
      <c r="A482" s="14">
        <v>46238</v>
      </c>
      <c r="B482" s="15">
        <v>4.1929999999999996</v>
      </c>
      <c r="C482" s="15">
        <v>4.6150000000000002</v>
      </c>
      <c r="D482" s="16">
        <f t="shared" si="14"/>
        <v>-4.5000000000000817</v>
      </c>
      <c r="E482" s="16">
        <f t="shared" si="15"/>
        <v>-6.2999999999999723</v>
      </c>
    </row>
    <row r="483" spans="1:5" x14ac:dyDescent="0.2">
      <c r="A483" s="14">
        <v>46239</v>
      </c>
      <c r="B483" s="15">
        <v>4.1829999999999998</v>
      </c>
      <c r="C483" s="15">
        <v>4.6150000000000002</v>
      </c>
      <c r="D483" s="16">
        <f t="shared" si="14"/>
        <v>-0.99999999999997868</v>
      </c>
      <c r="E483" s="16">
        <f t="shared" si="15"/>
        <v>0</v>
      </c>
    </row>
    <row r="484" spans="1:5" x14ac:dyDescent="0.2">
      <c r="A484" s="14">
        <v>46240</v>
      </c>
      <c r="B484" s="15">
        <v>4.2489999999999997</v>
      </c>
      <c r="C484" s="15">
        <v>4.681</v>
      </c>
      <c r="D484" s="16">
        <f t="shared" si="14"/>
        <v>6.5999999999999837</v>
      </c>
      <c r="E484" s="16">
        <f t="shared" si="15"/>
        <v>6.5999999999999837</v>
      </c>
    </row>
    <row r="485" spans="1:5" x14ac:dyDescent="0.2">
      <c r="A485" s="14">
        <v>46241</v>
      </c>
      <c r="B485" s="15">
        <v>4.1959999999999997</v>
      </c>
      <c r="C485" s="15">
        <v>4.6459999999999999</v>
      </c>
      <c r="D485" s="16">
        <f t="shared" si="14"/>
        <v>-5.2999999999999936</v>
      </c>
      <c r="E485" s="16">
        <f t="shared" si="15"/>
        <v>-3.5000000000000142</v>
      </c>
    </row>
    <row r="486" spans="1:5" x14ac:dyDescent="0.2">
      <c r="A486" s="14">
        <v>46244</v>
      </c>
      <c r="B486" s="15">
        <v>4.2430000000000003</v>
      </c>
      <c r="C486" s="15">
        <v>4.7080000000000002</v>
      </c>
      <c r="D486" s="16">
        <f t="shared" si="14"/>
        <v>4.7000000000000597</v>
      </c>
      <c r="E486" s="16">
        <f t="shared" si="15"/>
        <v>6.2000000000000277</v>
      </c>
    </row>
    <row r="487" spans="1:5" x14ac:dyDescent="0.2">
      <c r="A487" s="14">
        <v>46245</v>
      </c>
      <c r="B487" s="15">
        <v>4.2160000000000002</v>
      </c>
      <c r="C487" s="15">
        <v>4.6900000000000004</v>
      </c>
      <c r="D487" s="16">
        <f t="shared" si="14"/>
        <v>-2.7000000000000135</v>
      </c>
      <c r="E487" s="16">
        <f t="shared" si="15"/>
        <v>-1.7999999999999794</v>
      </c>
    </row>
    <row r="488" spans="1:5" x14ac:dyDescent="0.2">
      <c r="A488" s="14">
        <v>46246</v>
      </c>
      <c r="B488" s="15">
        <v>4.202</v>
      </c>
      <c r="C488" s="15">
        <v>4.6950000000000003</v>
      </c>
      <c r="D488" s="16">
        <f t="shared" si="14"/>
        <v>-1.4000000000000234</v>
      </c>
      <c r="E488" s="16">
        <f t="shared" si="15"/>
        <v>0.49999999999998934</v>
      </c>
    </row>
    <row r="489" spans="1:5" x14ac:dyDescent="0.2">
      <c r="A489" s="14">
        <v>46247</v>
      </c>
      <c r="B489" s="15">
        <v>4.1429999999999998</v>
      </c>
      <c r="C489" s="15">
        <v>4.6440000000000001</v>
      </c>
      <c r="D489" s="16">
        <f t="shared" si="14"/>
        <v>-5.9000000000000163</v>
      </c>
      <c r="E489" s="16">
        <f t="shared" si="15"/>
        <v>-5.1000000000000156</v>
      </c>
    </row>
    <row r="490" spans="1:5" x14ac:dyDescent="0.2">
      <c r="A490" s="14">
        <v>46248</v>
      </c>
      <c r="B490" s="15">
        <v>4.1710000000000003</v>
      </c>
      <c r="C490" s="15">
        <v>4.6929999999999996</v>
      </c>
      <c r="D490" s="16">
        <f t="shared" si="14"/>
        <v>2.8000000000000469</v>
      </c>
      <c r="E490" s="16">
        <f t="shared" si="15"/>
        <v>4.8999999999999488</v>
      </c>
    </row>
    <row r="491" spans="1:5" x14ac:dyDescent="0.2">
      <c r="A491" s="14">
        <v>46251</v>
      </c>
      <c r="B491" s="15">
        <v>4.1769999999999996</v>
      </c>
      <c r="C491" s="15">
        <v>4.7229999999999999</v>
      </c>
      <c r="D491" s="16">
        <f t="shared" si="14"/>
        <v>0.59999999999993392</v>
      </c>
      <c r="E491" s="16">
        <f t="shared" si="15"/>
        <v>3.0000000000000249</v>
      </c>
    </row>
    <row r="492" spans="1:5" x14ac:dyDescent="0.2">
      <c r="A492" s="14">
        <v>46252</v>
      </c>
      <c r="B492" s="15">
        <v>4.1719999999999997</v>
      </c>
      <c r="C492" s="15">
        <v>4.7050000000000001</v>
      </c>
      <c r="D492" s="16">
        <f t="shared" si="14"/>
        <v>-0.49999999999998934</v>
      </c>
      <c r="E492" s="16">
        <f t="shared" si="15"/>
        <v>-1.7999999999999794</v>
      </c>
    </row>
    <row r="493" spans="1:5" x14ac:dyDescent="0.2">
      <c r="A493" s="14">
        <v>46253</v>
      </c>
      <c r="B493" s="15">
        <v>4.1639999999999997</v>
      </c>
      <c r="C493" s="15">
        <v>4.6479999999999997</v>
      </c>
      <c r="D493" s="16">
        <f t="shared" si="14"/>
        <v>-0.80000000000000071</v>
      </c>
      <c r="E493" s="16">
        <f t="shared" si="15"/>
        <v>-5.7000000000000384</v>
      </c>
    </row>
    <row r="494" spans="1:5" x14ac:dyDescent="0.2">
      <c r="A494" s="14">
        <v>46254</v>
      </c>
      <c r="B494" s="15">
        <v>4.1900000000000004</v>
      </c>
      <c r="C494" s="15">
        <v>4.7060000000000004</v>
      </c>
      <c r="D494" s="16">
        <f t="shared" si="14"/>
        <v>2.6000000000000689</v>
      </c>
      <c r="E494" s="16">
        <f t="shared" si="15"/>
        <v>5.8000000000000718</v>
      </c>
    </row>
    <row r="495" spans="1:5" x14ac:dyDescent="0.2">
      <c r="A495" s="14">
        <v>46255</v>
      </c>
      <c r="B495" s="15">
        <v>4.2370000000000001</v>
      </c>
      <c r="C495" s="15">
        <v>4.7350000000000003</v>
      </c>
      <c r="D495" s="16">
        <f t="shared" si="14"/>
        <v>4.6999999999999709</v>
      </c>
      <c r="E495" s="16">
        <f t="shared" si="15"/>
        <v>2.8999999999999915</v>
      </c>
    </row>
    <row r="496" spans="1:5" x14ac:dyDescent="0.2">
      <c r="A496" s="14">
        <v>46258</v>
      </c>
      <c r="B496" s="15">
        <v>4.234</v>
      </c>
      <c r="C496" s="15">
        <v>4.6980000000000004</v>
      </c>
      <c r="D496" s="16">
        <f t="shared" si="14"/>
        <v>-0.30000000000001137</v>
      </c>
      <c r="E496" s="16">
        <f t="shared" si="15"/>
        <v>-3.6999999999999922</v>
      </c>
    </row>
    <row r="497" spans="1:5" x14ac:dyDescent="0.2">
      <c r="A497" s="14">
        <v>46259</v>
      </c>
      <c r="B497" s="15">
        <v>4.1749999999999998</v>
      </c>
      <c r="C497" s="15">
        <v>4.63</v>
      </c>
      <c r="D497" s="16">
        <f t="shared" si="14"/>
        <v>-5.9000000000000163</v>
      </c>
      <c r="E497" s="16">
        <f t="shared" si="15"/>
        <v>-6.8000000000000504</v>
      </c>
    </row>
    <row r="498" spans="1:5" x14ac:dyDescent="0.2">
      <c r="A498" s="14">
        <v>46260</v>
      </c>
      <c r="B498" s="15">
        <v>4.2110000000000003</v>
      </c>
      <c r="C498" s="15">
        <v>4.6479999999999997</v>
      </c>
      <c r="D498" s="16">
        <f t="shared" si="14"/>
        <v>3.6000000000000476</v>
      </c>
      <c r="E498" s="16">
        <f t="shared" si="15"/>
        <v>1.7999999999999794</v>
      </c>
    </row>
    <row r="499" spans="1:5" x14ac:dyDescent="0.2">
      <c r="A499" s="14">
        <v>46261</v>
      </c>
      <c r="B499" s="15">
        <v>4.2329999999999997</v>
      </c>
      <c r="C499" s="15">
        <v>4.6769999999999996</v>
      </c>
      <c r="D499" s="16">
        <f t="shared" si="14"/>
        <v>2.1999999999999353</v>
      </c>
      <c r="E499" s="16">
        <f t="shared" si="15"/>
        <v>2.8999999999999915</v>
      </c>
    </row>
    <row r="500" spans="1:5" x14ac:dyDescent="0.2">
      <c r="A500" s="14">
        <v>46262</v>
      </c>
      <c r="B500" s="15">
        <v>4.3449999999999998</v>
      </c>
      <c r="C500" s="15">
        <v>4.72</v>
      </c>
      <c r="D500" s="16">
        <f t="shared" si="14"/>
        <v>11.20000000000001</v>
      </c>
      <c r="E500" s="16">
        <f t="shared" si="15"/>
        <v>4.3000000000000149</v>
      </c>
    </row>
    <row r="501" spans="1:5" x14ac:dyDescent="0.2">
      <c r="A501" s="14">
        <v>46265</v>
      </c>
      <c r="B501" s="15">
        <v>4.343</v>
      </c>
      <c r="C501" s="15">
        <v>4.7510000000000003</v>
      </c>
      <c r="D501" s="16">
        <f t="shared" si="14"/>
        <v>-0.19999999999997797</v>
      </c>
      <c r="E501" s="16">
        <f t="shared" si="15"/>
        <v>3.1000000000000583</v>
      </c>
    </row>
    <row r="502" spans="1:5" x14ac:dyDescent="0.2">
      <c r="A502" s="14">
        <v>46266</v>
      </c>
      <c r="B502" s="15">
        <v>4.4009999999999998</v>
      </c>
      <c r="C502" s="15">
        <v>4.7990000000000004</v>
      </c>
      <c r="D502" s="16">
        <f t="shared" si="14"/>
        <v>5.7999999999999829</v>
      </c>
      <c r="E502" s="16">
        <f t="shared" si="15"/>
        <v>4.8000000000000043</v>
      </c>
    </row>
    <row r="503" spans="1:5" x14ac:dyDescent="0.2">
      <c r="A503" s="14">
        <v>46267</v>
      </c>
      <c r="B503" s="15">
        <v>4.37</v>
      </c>
      <c r="C503" s="15">
        <v>4.78</v>
      </c>
      <c r="D503" s="16">
        <f t="shared" si="14"/>
        <v>-3.0999999999999694</v>
      </c>
      <c r="E503" s="16">
        <f t="shared" si="15"/>
        <v>-1.9000000000000128</v>
      </c>
    </row>
    <row r="504" spans="1:5" x14ac:dyDescent="0.2">
      <c r="A504" s="14">
        <v>46268</v>
      </c>
      <c r="B504" s="15">
        <v>4.3380000000000001</v>
      </c>
      <c r="C504" s="15">
        <v>4.7690000000000001</v>
      </c>
      <c r="D504" s="16">
        <f t="shared" si="14"/>
        <v>-3.2000000000000028</v>
      </c>
      <c r="E504" s="16">
        <f t="shared" si="15"/>
        <v>-1.1000000000000121</v>
      </c>
    </row>
    <row r="505" spans="1:5" x14ac:dyDescent="0.2">
      <c r="A505" s="14">
        <v>46269</v>
      </c>
      <c r="B505" s="15">
        <v>4.367</v>
      </c>
      <c r="C505" s="15">
        <v>4.7830000000000004</v>
      </c>
      <c r="D505" s="16">
        <f t="shared" si="14"/>
        <v>2.8999999999999915</v>
      </c>
      <c r="E505" s="16">
        <f t="shared" si="15"/>
        <v>1.4000000000000234</v>
      </c>
    </row>
    <row r="506" spans="1:5" x14ac:dyDescent="0.2">
      <c r="A506" s="14">
        <v>46272</v>
      </c>
      <c r="B506" s="15">
        <v>4.367</v>
      </c>
      <c r="C506" s="15">
        <v>4.7830000000000004</v>
      </c>
      <c r="D506" s="16">
        <f t="shared" si="14"/>
        <v>0</v>
      </c>
      <c r="E506" s="16">
        <f t="shared" si="15"/>
        <v>0</v>
      </c>
    </row>
    <row r="507" spans="1:5" x14ac:dyDescent="0.2">
      <c r="A507" s="14">
        <v>46273</v>
      </c>
      <c r="B507" s="15">
        <v>4.3949999999999996</v>
      </c>
      <c r="C507" s="15">
        <v>4.79</v>
      </c>
      <c r="D507" s="16">
        <f t="shared" si="14"/>
        <v>2.7999999999999581</v>
      </c>
      <c r="E507" s="16">
        <f t="shared" si="15"/>
        <v>0.69999999999996732</v>
      </c>
    </row>
    <row r="508" spans="1:5" x14ac:dyDescent="0.2">
      <c r="A508" s="14">
        <v>46274</v>
      </c>
      <c r="B508" s="15">
        <v>4.4320000000000004</v>
      </c>
      <c r="C508" s="15">
        <v>4.8419999999999996</v>
      </c>
      <c r="D508" s="16">
        <f t="shared" si="14"/>
        <v>3.700000000000081</v>
      </c>
      <c r="E508" s="16">
        <f t="shared" si="15"/>
        <v>5.1999999999999602</v>
      </c>
    </row>
    <row r="509" spans="1:5" x14ac:dyDescent="0.2">
      <c r="A509" s="14">
        <v>46275</v>
      </c>
      <c r="B509" s="15">
        <v>4.5869999999999997</v>
      </c>
      <c r="C509" s="15">
        <v>4.9640000000000004</v>
      </c>
      <c r="D509" s="16">
        <f t="shared" si="14"/>
        <v>15.499999999999936</v>
      </c>
      <c r="E509" s="16">
        <f t="shared" si="15"/>
        <v>12.200000000000077</v>
      </c>
    </row>
    <row r="510" spans="1:5" x14ac:dyDescent="0.2">
      <c r="A510" s="14">
        <v>46276</v>
      </c>
      <c r="B510" s="15">
        <v>4.6260000000000003</v>
      </c>
      <c r="C510" s="15">
        <v>4.968</v>
      </c>
      <c r="D510" s="16">
        <f t="shared" si="14"/>
        <v>3.900000000000059</v>
      </c>
      <c r="E510" s="16">
        <f t="shared" si="15"/>
        <v>0.39999999999995595</v>
      </c>
    </row>
    <row r="511" spans="1:5" x14ac:dyDescent="0.2">
      <c r="A511" s="14">
        <v>46279</v>
      </c>
      <c r="B511" s="15">
        <v>4.66</v>
      </c>
      <c r="C511" s="15">
        <v>4.9880000000000004</v>
      </c>
      <c r="D511" s="16">
        <f t="shared" si="14"/>
        <v>3.3999999999999808</v>
      </c>
      <c r="E511" s="16">
        <f t="shared" si="15"/>
        <v>2.0000000000000462</v>
      </c>
    </row>
    <row r="512" spans="1:5" x14ac:dyDescent="0.2">
      <c r="A512" s="14">
        <v>46280</v>
      </c>
      <c r="B512" s="15">
        <v>4.6639999999999997</v>
      </c>
      <c r="C512" s="15">
        <v>5.0030000000000001</v>
      </c>
      <c r="D512" s="16">
        <f t="shared" si="14"/>
        <v>0.39999999999995595</v>
      </c>
      <c r="E512" s="16">
        <f t="shared" si="15"/>
        <v>1.499999999999968</v>
      </c>
    </row>
    <row r="513" spans="1:5" x14ac:dyDescent="0.2">
      <c r="A513" s="14">
        <v>46281</v>
      </c>
      <c r="B513" s="15">
        <v>4.7380000000000004</v>
      </c>
      <c r="C513" s="15">
        <v>5.024</v>
      </c>
      <c r="D513" s="16">
        <f t="shared" si="14"/>
        <v>7.4000000000000732</v>
      </c>
      <c r="E513" s="16">
        <f t="shared" si="15"/>
        <v>2.0999999999999908</v>
      </c>
    </row>
    <row r="514" spans="1:5" x14ac:dyDescent="0.2">
      <c r="A514" s="14">
        <v>46282</v>
      </c>
      <c r="B514" s="15">
        <v>4.665</v>
      </c>
      <c r="C514" s="15">
        <v>4.9320000000000004</v>
      </c>
      <c r="D514" s="16">
        <f t="shared" si="14"/>
        <v>-7.3000000000000398</v>
      </c>
      <c r="E514" s="16">
        <f t="shared" si="15"/>
        <v>-9.1999999999999638</v>
      </c>
    </row>
    <row r="515" spans="1:5" x14ac:dyDescent="0.2">
      <c r="A515" s="14">
        <v>46283</v>
      </c>
      <c r="B515" s="15">
        <v>4.7450000000000001</v>
      </c>
      <c r="C515" s="15">
        <v>4.9969999999999999</v>
      </c>
      <c r="D515" s="16">
        <f t="shared" si="14"/>
        <v>8.0000000000000071</v>
      </c>
      <c r="E515" s="16">
        <f t="shared" si="15"/>
        <v>6.4999999999999503</v>
      </c>
    </row>
    <row r="516" spans="1:5" x14ac:dyDescent="0.2">
      <c r="A516" s="14">
        <v>46286</v>
      </c>
      <c r="B516" s="15">
        <v>4.7480000000000002</v>
      </c>
      <c r="C516" s="15">
        <v>4.952</v>
      </c>
      <c r="D516" s="16">
        <f t="shared" ref="D516:D523" si="16">100*(B516-B515)</f>
        <v>0.30000000000001137</v>
      </c>
      <c r="E516" s="16">
        <f t="shared" ref="E516:E523" si="17">100*(C516-C515)</f>
        <v>-4.4999999999999929</v>
      </c>
    </row>
    <row r="517" spans="1:5" x14ac:dyDescent="0.2">
      <c r="A517" s="14">
        <v>46287</v>
      </c>
      <c r="B517" s="15">
        <v>4.7560000000000002</v>
      </c>
      <c r="C517" s="15">
        <v>4.9630000000000001</v>
      </c>
      <c r="D517" s="16">
        <f t="shared" si="16"/>
        <v>0.80000000000000071</v>
      </c>
      <c r="E517" s="16">
        <f t="shared" si="17"/>
        <v>1.1000000000000121</v>
      </c>
    </row>
    <row r="518" spans="1:5" x14ac:dyDescent="0.2">
      <c r="A518" s="14">
        <v>46288</v>
      </c>
      <c r="B518" s="15">
        <v>4.8979999999999997</v>
      </c>
      <c r="C518" s="15">
        <v>5.1150000000000002</v>
      </c>
      <c r="D518" s="16">
        <f t="shared" si="16"/>
        <v>14.199999999999946</v>
      </c>
      <c r="E518" s="16">
        <f t="shared" si="17"/>
        <v>15.200000000000014</v>
      </c>
    </row>
    <row r="519" spans="1:5" x14ac:dyDescent="0.2">
      <c r="A519" s="14">
        <v>46289</v>
      </c>
      <c r="B519" s="15">
        <v>4.9260000000000002</v>
      </c>
      <c r="C519" s="15">
        <v>5.2</v>
      </c>
      <c r="D519" s="16">
        <f t="shared" si="16"/>
        <v>2.8000000000000469</v>
      </c>
      <c r="E519" s="16">
        <f t="shared" si="17"/>
        <v>8.4999999999999964</v>
      </c>
    </row>
    <row r="520" spans="1:5" x14ac:dyDescent="0.2">
      <c r="A520" s="14">
        <v>46290</v>
      </c>
      <c r="B520" s="15">
        <v>4.8540000000000001</v>
      </c>
      <c r="C520" s="15">
        <v>5.1630000000000003</v>
      </c>
      <c r="D520" s="16">
        <f t="shared" si="16"/>
        <v>-7.2000000000000064</v>
      </c>
      <c r="E520" s="16">
        <f t="shared" si="17"/>
        <v>-3.6999999999999922</v>
      </c>
    </row>
    <row r="521" spans="1:5" x14ac:dyDescent="0.2">
      <c r="A521" s="14">
        <v>46293</v>
      </c>
      <c r="B521" s="15">
        <v>4.9320000000000004</v>
      </c>
      <c r="C521" s="15">
        <v>5.2370000000000001</v>
      </c>
      <c r="D521" s="16">
        <f t="shared" si="16"/>
        <v>7.8000000000000291</v>
      </c>
      <c r="E521" s="16">
        <f t="shared" si="17"/>
        <v>7.3999999999999844</v>
      </c>
    </row>
    <row r="522" spans="1:5" x14ac:dyDescent="0.2">
      <c r="A522" s="14">
        <v>46294</v>
      </c>
      <c r="B522" s="15">
        <v>4.8780000000000001</v>
      </c>
      <c r="C522" s="15">
        <v>5.2370000000000001</v>
      </c>
      <c r="D522" s="16">
        <f t="shared" si="16"/>
        <v>-5.400000000000027</v>
      </c>
      <c r="E522" s="16">
        <f t="shared" si="17"/>
        <v>0</v>
      </c>
    </row>
    <row r="523" spans="1:5" x14ac:dyDescent="0.2">
      <c r="A523" s="14">
        <v>46295</v>
      </c>
      <c r="B523" s="15">
        <v>4.8890000000000002</v>
      </c>
      <c r="C523" s="15">
        <v>5.2869999999999999</v>
      </c>
      <c r="D523" s="16">
        <f t="shared" si="16"/>
        <v>1.1000000000000121</v>
      </c>
      <c r="E523" s="16">
        <f t="shared" si="17"/>
        <v>4.9999999999999822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099E1-8824-2B46-A14D-A417D928D058}">
  <dimension ref="A1:O523"/>
  <sheetViews>
    <sheetView tabSelected="1" topLeftCell="K18" workbookViewId="0">
      <selection activeCell="S54" sqref="S54"/>
    </sheetView>
  </sheetViews>
  <sheetFormatPr baseColWidth="10" defaultRowHeight="16" x14ac:dyDescent="0.2"/>
  <cols>
    <col min="1" max="1" width="13.83203125" style="20" bestFit="1" customWidth="1"/>
    <col min="2" max="3" width="10.83203125" style="3"/>
    <col min="4" max="5" width="13.6640625" style="4" customWidth="1"/>
    <col min="6" max="7" width="18.6640625" style="4" customWidth="1"/>
    <col min="8" max="8" width="19.83203125" style="4" customWidth="1"/>
    <col min="9" max="11" width="19.83203125" style="44" customWidth="1"/>
    <col min="13" max="13" width="53.6640625" customWidth="1"/>
    <col min="14" max="15" width="25.5" customWidth="1"/>
  </cols>
  <sheetData>
    <row r="1" spans="1:15" s="24" customFormat="1" ht="34" x14ac:dyDescent="0.2">
      <c r="A1" s="51"/>
      <c r="B1" s="51" t="s">
        <v>1</v>
      </c>
      <c r="C1" s="51" t="s">
        <v>2</v>
      </c>
      <c r="D1" s="51" t="s">
        <v>4</v>
      </c>
      <c r="E1" s="51" t="s">
        <v>5</v>
      </c>
      <c r="F1" s="51" t="s">
        <v>16</v>
      </c>
      <c r="G1" s="51" t="s">
        <v>17</v>
      </c>
      <c r="H1" s="51" t="s">
        <v>18</v>
      </c>
      <c r="I1" s="51" t="s">
        <v>30</v>
      </c>
      <c r="J1" s="51" t="s">
        <v>31</v>
      </c>
      <c r="K1" s="51" t="s">
        <v>29</v>
      </c>
      <c r="L1" s="46"/>
      <c r="M1" s="51" t="s">
        <v>6</v>
      </c>
      <c r="N1" s="51" t="s">
        <v>14</v>
      </c>
      <c r="O1" s="51" t="s">
        <v>15</v>
      </c>
    </row>
    <row r="2" spans="1:15" x14ac:dyDescent="0.2">
      <c r="A2" s="47">
        <v>45566</v>
      </c>
      <c r="B2" s="48">
        <v>3.6059999999999999</v>
      </c>
      <c r="C2" s="48">
        <v>3.7320000000000002</v>
      </c>
      <c r="D2" s="49"/>
      <c r="E2" s="49"/>
      <c r="F2" s="49"/>
      <c r="G2" s="49"/>
      <c r="H2" s="49"/>
      <c r="I2" s="50"/>
      <c r="J2" s="50"/>
      <c r="K2" s="50"/>
      <c r="L2" s="23"/>
      <c r="M2" s="38" t="s">
        <v>7</v>
      </c>
      <c r="N2" s="26">
        <f>AVERAGE($D$3:$D$523)</f>
        <v>0.24625719769673729</v>
      </c>
      <c r="O2" s="27">
        <f>AVERAGE($E$3:$E$523)</f>
        <v>0.29846449136276371</v>
      </c>
    </row>
    <row r="3" spans="1:15" x14ac:dyDescent="0.2">
      <c r="A3" s="19">
        <v>45567</v>
      </c>
      <c r="B3" s="15">
        <v>3.6429999999999998</v>
      </c>
      <c r="C3" s="15">
        <v>3.7829999999999999</v>
      </c>
      <c r="D3" s="16">
        <v>3.6999999999999922</v>
      </c>
      <c r="E3" s="16">
        <v>5.0999999999999712</v>
      </c>
      <c r="F3" s="16">
        <f>IF(ABS(D3-$N$2)&gt;$N$3,1,0)</f>
        <v>0</v>
      </c>
      <c r="G3" s="16">
        <f>IF(ABS(E3-$O$2)&gt;$O$3,1,0)</f>
        <v>0</v>
      </c>
      <c r="H3" s="16">
        <f>IF(AND(F3=1,G3=1),1,0)</f>
        <v>0</v>
      </c>
      <c r="I3" s="22">
        <f>(1000000/100)*($N$11*D3/100-0.5*$N$19*(D3/100)^2)</f>
        <v>694.55274163999854</v>
      </c>
      <c r="J3" s="22">
        <f>(1000000/100)*($O$11*E3/100-0.5*$O$19*(E3/100)^2)</f>
        <v>3755.8363800899788</v>
      </c>
      <c r="K3" s="22">
        <f>($N$16/1000000)*I3+($O$16/1000000)*J3</f>
        <v>24750.709280538031</v>
      </c>
      <c r="L3" s="23"/>
      <c r="M3" s="38" t="s">
        <v>8</v>
      </c>
      <c r="N3" s="28">
        <f>_xlfn.STDEV.S(D3:D523)</f>
        <v>4.8802575597100182</v>
      </c>
      <c r="O3" s="29">
        <f>_xlfn.STDEV.S(E3:E523)</f>
        <v>4.8538523105945108</v>
      </c>
    </row>
    <row r="4" spans="1:15" x14ac:dyDescent="0.2">
      <c r="A4" s="19">
        <v>45568</v>
      </c>
      <c r="B4" s="15">
        <v>3.706</v>
      </c>
      <c r="C4" s="15">
        <v>3.847</v>
      </c>
      <c r="D4" s="16">
        <v>6.3000000000000167</v>
      </c>
      <c r="E4" s="16">
        <v>6.4000000000000057</v>
      </c>
      <c r="F4" s="16">
        <f t="shared" ref="F4:F67" si="0">IF(ABS(D4-$N$2)&gt;$N$3,1,0)</f>
        <v>1</v>
      </c>
      <c r="G4" s="16">
        <f t="shared" ref="G4:G67" si="1">IF(ABS(E4-$O$2)&gt;$O$3,1,0)</f>
        <v>1</v>
      </c>
      <c r="H4" s="16">
        <f t="shared" ref="H4:H67" si="2">IF(AND(F4=1,G4=1),1,0)</f>
        <v>1</v>
      </c>
      <c r="I4" s="22">
        <f t="shared" ref="I4:I67" si="3">(1000000/100)*($N$11*D4/100-0.5*$N$19*(D4/100)^2)</f>
        <v>1182.2491976400031</v>
      </c>
      <c r="J4" s="22">
        <f t="shared" ref="J4:J67" si="4">(1000000/100)*($O$11*E4/100-0.5*$O$19*(E4/100)^2)</f>
        <v>4710.3327846400043</v>
      </c>
      <c r="K4" s="22">
        <f t="shared" ref="K4:K67" si="5">($N$16/1000000)*I4+($O$16/1000000)*J4</f>
        <v>35708.551638849429</v>
      </c>
      <c r="L4" s="23"/>
      <c r="M4" s="38" t="s">
        <v>9</v>
      </c>
      <c r="N4" s="30">
        <f>COUNTIFS($D$3:$D$523,"&gt;="&amp;N2-N3,$D$3:$D$523,"&lt;="&amp;N2+N3)/COUNT($D$3:$D$523)</f>
        <v>0.73896353166986561</v>
      </c>
      <c r="O4" s="31">
        <f>COUNTIFS($E$3:$E$523,"&gt;="&amp;O2-O3,$E$3:$E$523,"&lt;="&amp;O2+O3)/COUNT($E$3:$E$523)</f>
        <v>0.72744721689059499</v>
      </c>
    </row>
    <row r="5" spans="1:15" x14ac:dyDescent="0.2">
      <c r="A5" s="19">
        <v>45569</v>
      </c>
      <c r="B5" s="15">
        <v>3.9239999999999999</v>
      </c>
      <c r="C5" s="15">
        <v>3.968</v>
      </c>
      <c r="D5" s="16">
        <v>21.799999999999997</v>
      </c>
      <c r="E5" s="16">
        <v>12.1</v>
      </c>
      <c r="F5" s="16">
        <f t="shared" si="0"/>
        <v>1</v>
      </c>
      <c r="G5" s="16">
        <f t="shared" si="1"/>
        <v>1</v>
      </c>
      <c r="H5" s="16">
        <f t="shared" si="2"/>
        <v>1</v>
      </c>
      <c r="I5" s="22">
        <f t="shared" si="3"/>
        <v>4083.3737134399989</v>
      </c>
      <c r="J5" s="22">
        <f t="shared" si="4"/>
        <v>8881.6513036899996</v>
      </c>
      <c r="K5" s="22">
        <f t="shared" si="5"/>
        <v>95143.333583603133</v>
      </c>
      <c r="L5" s="23"/>
      <c r="M5" s="38" t="s">
        <v>10</v>
      </c>
      <c r="N5" s="32">
        <f>COUNTIFS($D$3:$D$523,"&gt;="&amp;N2-2*N3,$D$3:$D$523,"&lt;="&amp;N2+2*N3)/COUNT($D$3:$D$523)</f>
        <v>0.95201535508637236</v>
      </c>
      <c r="O5" s="33">
        <f>COUNTIFS($E$3:$E$523,"&gt;="&amp;O2-2*O3,$E$3:$E$523,"&lt;="&amp;O2+2*O3)/COUNT($E$3:$E$523)</f>
        <v>0.94241842610364679</v>
      </c>
    </row>
    <row r="6" spans="1:15" x14ac:dyDescent="0.2">
      <c r="A6" s="19">
        <v>45572</v>
      </c>
      <c r="B6" s="15">
        <v>3.996</v>
      </c>
      <c r="C6" s="15">
        <v>4.0270000000000001</v>
      </c>
      <c r="D6" s="16">
        <v>7.2000000000000064</v>
      </c>
      <c r="E6" s="16">
        <v>5.9000000000000163</v>
      </c>
      <c r="F6" s="16">
        <f t="shared" si="0"/>
        <v>1</v>
      </c>
      <c r="G6" s="16">
        <f t="shared" si="1"/>
        <v>1</v>
      </c>
      <c r="H6" s="16">
        <f t="shared" si="2"/>
        <v>1</v>
      </c>
      <c r="I6" s="22">
        <f t="shared" si="3"/>
        <v>1350.9965030400012</v>
      </c>
      <c r="J6" s="22">
        <f t="shared" si="4"/>
        <v>4343.3569392900108</v>
      </c>
      <c r="K6" s="22">
        <f t="shared" si="5"/>
        <v>36839.367076865208</v>
      </c>
      <c r="L6" s="23"/>
      <c r="M6" s="38" t="s">
        <v>11</v>
      </c>
      <c r="N6" s="26">
        <f>CORREL($D$3:$D$523,$E$3:$E$523)</f>
        <v>0.82043780009423728</v>
      </c>
      <c r="O6" s="34"/>
    </row>
    <row r="7" spans="1:15" x14ac:dyDescent="0.2">
      <c r="A7" s="19">
        <v>45573</v>
      </c>
      <c r="B7" s="15">
        <v>3.9590000000000001</v>
      </c>
      <c r="C7" s="15">
        <v>4.0129999999999999</v>
      </c>
      <c r="D7" s="16">
        <v>-3.6999999999999922</v>
      </c>
      <c r="E7" s="16">
        <v>-1.4000000000000234</v>
      </c>
      <c r="F7" s="16">
        <f t="shared" si="0"/>
        <v>0</v>
      </c>
      <c r="G7" s="16">
        <f t="shared" si="1"/>
        <v>0</v>
      </c>
      <c r="H7" s="16">
        <f t="shared" si="2"/>
        <v>0</v>
      </c>
      <c r="I7" s="22">
        <f t="shared" si="3"/>
        <v>-695.16725835999853</v>
      </c>
      <c r="J7" s="22">
        <f t="shared" si="4"/>
        <v>-1034.1569663600173</v>
      </c>
      <c r="K7" s="22">
        <f t="shared" si="5"/>
        <v>-14373.892205440845</v>
      </c>
      <c r="L7" s="23"/>
      <c r="M7" s="38" t="s">
        <v>12</v>
      </c>
      <c r="N7" s="35">
        <f>AVERAGEIF($E$3:$E$523,"&gt;=0",$D$3:$D$523)</f>
        <v>2.9409090909090909</v>
      </c>
      <c r="O7" s="36"/>
    </row>
    <row r="8" spans="1:15" x14ac:dyDescent="0.2">
      <c r="A8" s="19">
        <v>45574</v>
      </c>
      <c r="B8" s="15">
        <v>4.024</v>
      </c>
      <c r="C8" s="15">
        <v>4.0739999999999998</v>
      </c>
      <c r="D8" s="16">
        <v>6.4999999999999947</v>
      </c>
      <c r="E8" s="16">
        <v>6.0999999999999943</v>
      </c>
      <c r="F8" s="16">
        <f t="shared" si="0"/>
        <v>1</v>
      </c>
      <c r="G8" s="16">
        <f t="shared" si="1"/>
        <v>1</v>
      </c>
      <c r="H8" s="16">
        <f t="shared" si="2"/>
        <v>1</v>
      </c>
      <c r="I8" s="22">
        <f t="shared" si="3"/>
        <v>1219.7517409999991</v>
      </c>
      <c r="J8" s="22">
        <f t="shared" si="4"/>
        <v>4490.1680008899957</v>
      </c>
      <c r="K8" s="22">
        <f t="shared" si="5"/>
        <v>35430.932384990665</v>
      </c>
      <c r="L8" s="23"/>
      <c r="M8" s="38" t="s">
        <v>13</v>
      </c>
      <c r="N8" s="37">
        <f>AVERAGEIF($D$3:$D$523,"&gt;=0",$E$3:$E$523)</f>
        <v>3.2185454545454535</v>
      </c>
      <c r="O8" s="36"/>
    </row>
    <row r="9" spans="1:15" x14ac:dyDescent="0.2">
      <c r="A9" s="19">
        <v>45575</v>
      </c>
      <c r="B9" s="15">
        <v>3.9590000000000001</v>
      </c>
      <c r="C9" s="15">
        <v>4.0629999999999997</v>
      </c>
      <c r="D9" s="16">
        <v>-6.4999999999999947</v>
      </c>
      <c r="E9" s="16">
        <v>-1.1000000000000121</v>
      </c>
      <c r="F9" s="16">
        <f t="shared" si="0"/>
        <v>1</v>
      </c>
      <c r="G9" s="16">
        <f t="shared" si="1"/>
        <v>0</v>
      </c>
      <c r="H9" s="16">
        <f t="shared" si="2"/>
        <v>0</v>
      </c>
      <c r="I9" s="22">
        <f t="shared" si="3"/>
        <v>-1221.6482589999989</v>
      </c>
      <c r="J9" s="22">
        <f t="shared" si="4"/>
        <v>-812.43792311000902</v>
      </c>
      <c r="K9" s="22">
        <f t="shared" si="5"/>
        <v>-21425.018695892555</v>
      </c>
      <c r="L9" s="23"/>
      <c r="M9" s="38" t="s">
        <v>19</v>
      </c>
      <c r="N9" s="39">
        <f>COUNTIF($H$3:$H$523,1)</f>
        <v>96</v>
      </c>
      <c r="O9" s="39"/>
    </row>
    <row r="10" spans="1:15" x14ac:dyDescent="0.2">
      <c r="A10" s="19">
        <v>45576</v>
      </c>
      <c r="B10" s="15">
        <v>3.9569999999999999</v>
      </c>
      <c r="C10" s="15">
        <v>4.101</v>
      </c>
      <c r="D10" s="16">
        <v>-0.20000000000002238</v>
      </c>
      <c r="E10" s="16">
        <v>3.8000000000000256</v>
      </c>
      <c r="F10" s="16">
        <f t="shared" si="0"/>
        <v>0</v>
      </c>
      <c r="G10" s="16">
        <f t="shared" si="1"/>
        <v>0</v>
      </c>
      <c r="H10" s="16">
        <f t="shared" si="2"/>
        <v>0</v>
      </c>
      <c r="I10" s="22">
        <f t="shared" si="3"/>
        <v>-37.560897760004202</v>
      </c>
      <c r="J10" s="22">
        <f t="shared" si="4"/>
        <v>2800.1725539600188</v>
      </c>
      <c r="K10" s="22">
        <f t="shared" si="5"/>
        <v>10122.154244932059</v>
      </c>
      <c r="L10" s="23"/>
      <c r="M10" s="38" t="s">
        <v>20</v>
      </c>
      <c r="N10" s="39" cm="1">
        <f t="array" ref="N10">CORREL(_xlfn._xlws.FILTER($D$3:$D$523,$H$3:$H$523=1),_xlfn._xlws.FILTER($E$3:$E$523,$H$3:$H$523=1))</f>
        <v>0.94590477608106893</v>
      </c>
      <c r="O10" s="39"/>
    </row>
    <row r="11" spans="1:15" x14ac:dyDescent="0.2">
      <c r="A11" s="19">
        <v>45579</v>
      </c>
      <c r="B11" s="15">
        <v>3.9569999999999999</v>
      </c>
      <c r="C11" s="15">
        <v>4.101</v>
      </c>
      <c r="D11" s="16">
        <v>0</v>
      </c>
      <c r="E11" s="16">
        <v>0</v>
      </c>
      <c r="F11" s="16">
        <f t="shared" si="0"/>
        <v>0</v>
      </c>
      <c r="G11" s="16">
        <f t="shared" si="1"/>
        <v>0</v>
      </c>
      <c r="H11" s="16">
        <f t="shared" si="2"/>
        <v>0</v>
      </c>
      <c r="I11" s="22">
        <f t="shared" si="3"/>
        <v>0</v>
      </c>
      <c r="J11" s="22">
        <f t="shared" si="4"/>
        <v>0</v>
      </c>
      <c r="K11" s="22">
        <f t="shared" si="5"/>
        <v>0</v>
      </c>
      <c r="M11" s="38" t="s">
        <v>28</v>
      </c>
      <c r="N11" s="39">
        <v>1.8779999999999999</v>
      </c>
      <c r="O11" s="39">
        <v>7.3819999999999997</v>
      </c>
    </row>
    <row r="12" spans="1:15" x14ac:dyDescent="0.2">
      <c r="A12" s="19">
        <v>45580</v>
      </c>
      <c r="B12" s="15">
        <v>3.948</v>
      </c>
      <c r="C12" s="15">
        <v>4.0339999999999998</v>
      </c>
      <c r="D12" s="16">
        <v>-0.8999999999999897</v>
      </c>
      <c r="E12" s="16">
        <v>-6.7000000000000171</v>
      </c>
      <c r="F12" s="16">
        <f t="shared" si="0"/>
        <v>0</v>
      </c>
      <c r="G12" s="16">
        <f t="shared" si="1"/>
        <v>1</v>
      </c>
      <c r="H12" s="16">
        <f t="shared" si="2"/>
        <v>0</v>
      </c>
      <c r="I12" s="22">
        <f t="shared" si="3"/>
        <v>-169.03817963999805</v>
      </c>
      <c r="J12" s="22">
        <f t="shared" si="4"/>
        <v>-4961.4446019900124</v>
      </c>
      <c r="K12" s="22">
        <f t="shared" si="5"/>
        <v>-21468.638860687566</v>
      </c>
      <c r="M12" s="38" t="s">
        <v>21</v>
      </c>
      <c r="N12" s="40">
        <f>N11*100</f>
        <v>187.79999999999998</v>
      </c>
      <c r="O12" s="40">
        <f>O11*100</f>
        <v>738.19999999999993</v>
      </c>
    </row>
    <row r="13" spans="1:15" x14ac:dyDescent="0.2">
      <c r="A13" s="19">
        <v>45581</v>
      </c>
      <c r="B13" s="15">
        <v>3.94</v>
      </c>
      <c r="C13" s="15">
        <v>4.0140000000000002</v>
      </c>
      <c r="D13" s="16">
        <v>-0.80000000000000071</v>
      </c>
      <c r="E13" s="16">
        <v>-1.9999999999999574</v>
      </c>
      <c r="F13" s="16">
        <f t="shared" si="0"/>
        <v>0</v>
      </c>
      <c r="G13" s="16">
        <f t="shared" si="1"/>
        <v>0</v>
      </c>
      <c r="H13" s="16">
        <f t="shared" si="2"/>
        <v>0</v>
      </c>
      <c r="I13" s="22">
        <f t="shared" si="3"/>
        <v>-150.25436416000014</v>
      </c>
      <c r="J13" s="22">
        <f t="shared" si="4"/>
        <v>-1477.7815639999687</v>
      </c>
      <c r="K13" s="22">
        <f t="shared" si="5"/>
        <v>-7893.0875645239685</v>
      </c>
      <c r="M13" s="41" t="s">
        <v>22</v>
      </c>
      <c r="N13" s="42">
        <f>-O13*$O$12/$N$12</f>
        <v>-78615548.45580405</v>
      </c>
      <c r="O13" s="42">
        <v>20000000</v>
      </c>
    </row>
    <row r="14" spans="1:15" x14ac:dyDescent="0.2">
      <c r="A14" s="19">
        <v>45582</v>
      </c>
      <c r="B14" s="15">
        <v>3.9729999999999999</v>
      </c>
      <c r="C14" s="15">
        <v>4.0919999999999996</v>
      </c>
      <c r="D14" s="16">
        <v>3.2999999999999918</v>
      </c>
      <c r="E14" s="16">
        <v>7.7999999999999403</v>
      </c>
      <c r="F14" s="16">
        <f t="shared" si="0"/>
        <v>0</v>
      </c>
      <c r="G14" s="16">
        <f t="shared" si="1"/>
        <v>1</v>
      </c>
      <c r="H14" s="16">
        <f t="shared" si="2"/>
        <v>0</v>
      </c>
      <c r="I14" s="22">
        <f t="shared" si="3"/>
        <v>619.4955848399984</v>
      </c>
      <c r="J14" s="22">
        <f t="shared" si="4"/>
        <v>5736.9464115599558</v>
      </c>
      <c r="K14" s="22">
        <f t="shared" si="5"/>
        <v>31184.845099292463</v>
      </c>
      <c r="M14" s="41" t="s">
        <v>23</v>
      </c>
      <c r="N14" s="42">
        <f>N13/1000000*N12</f>
        <v>-14763.999999999998</v>
      </c>
      <c r="O14" s="42">
        <f>O13/1000000*O12</f>
        <v>14763.999999999998</v>
      </c>
    </row>
    <row r="15" spans="1:15" x14ac:dyDescent="0.2">
      <c r="A15" s="19">
        <v>45583</v>
      </c>
      <c r="B15" s="15">
        <v>3.9489999999999998</v>
      </c>
      <c r="C15" s="15">
        <v>4.0839999999999996</v>
      </c>
      <c r="D15" s="16">
        <v>-2.4000000000000021</v>
      </c>
      <c r="E15" s="16">
        <v>-0.80000000000000071</v>
      </c>
      <c r="F15" s="16">
        <f t="shared" si="0"/>
        <v>0</v>
      </c>
      <c r="G15" s="16">
        <f t="shared" si="1"/>
        <v>0</v>
      </c>
      <c r="H15" s="16">
        <f t="shared" si="2"/>
        <v>0</v>
      </c>
      <c r="I15" s="22">
        <f t="shared" si="3"/>
        <v>-450.84927744000038</v>
      </c>
      <c r="J15" s="22">
        <f t="shared" si="4"/>
        <v>-590.78105024000047</v>
      </c>
      <c r="K15" s="22">
        <f t="shared" si="5"/>
        <v>-9017.1826979398611</v>
      </c>
      <c r="M15" s="41" t="s">
        <v>24</v>
      </c>
      <c r="N15" s="42">
        <f>SUM(N14:O14)</f>
        <v>0</v>
      </c>
      <c r="O15" s="42"/>
    </row>
    <row r="16" spans="1:15" x14ac:dyDescent="0.2">
      <c r="A16" s="19">
        <v>45586</v>
      </c>
      <c r="B16" s="15">
        <v>4.0330000000000004</v>
      </c>
      <c r="C16" s="15">
        <v>4.1970000000000001</v>
      </c>
      <c r="D16" s="16">
        <v>8.4000000000000519</v>
      </c>
      <c r="E16" s="16">
        <v>11.300000000000043</v>
      </c>
      <c r="F16" s="16">
        <f t="shared" si="0"/>
        <v>1</v>
      </c>
      <c r="G16" s="16">
        <f t="shared" si="1"/>
        <v>1</v>
      </c>
      <c r="H16" s="16">
        <f t="shared" si="2"/>
        <v>1</v>
      </c>
      <c r="I16" s="22">
        <f t="shared" si="3"/>
        <v>1575.9363513600094</v>
      </c>
      <c r="J16" s="22">
        <f t="shared" si="4"/>
        <v>8297.5570232100308</v>
      </c>
      <c r="K16" s="22">
        <f t="shared" si="5"/>
        <v>55302.846590344132</v>
      </c>
      <c r="M16" s="43" t="s">
        <v>25</v>
      </c>
      <c r="N16" s="43">
        <v>15000000</v>
      </c>
      <c r="O16" s="43">
        <f>N16*$N$12/$O$12</f>
        <v>3816039.0138173932</v>
      </c>
    </row>
    <row r="17" spans="1:15" x14ac:dyDescent="0.2">
      <c r="A17" s="19">
        <v>45587</v>
      </c>
      <c r="B17" s="15">
        <v>4.0330000000000004</v>
      </c>
      <c r="C17" s="15">
        <v>4.2089999999999996</v>
      </c>
      <c r="D17" s="16">
        <v>0</v>
      </c>
      <c r="E17" s="16">
        <v>1.1999999999999567</v>
      </c>
      <c r="F17" s="16">
        <f t="shared" si="0"/>
        <v>0</v>
      </c>
      <c r="G17" s="16">
        <f t="shared" si="1"/>
        <v>0</v>
      </c>
      <c r="H17" s="16">
        <f t="shared" si="2"/>
        <v>0</v>
      </c>
      <c r="I17" s="22">
        <f t="shared" si="3"/>
        <v>0</v>
      </c>
      <c r="J17" s="22">
        <f t="shared" si="4"/>
        <v>885.34263695996799</v>
      </c>
      <c r="K17" s="22">
        <f t="shared" si="5"/>
        <v>3378.5020432352067</v>
      </c>
      <c r="M17" s="43" t="s">
        <v>26</v>
      </c>
      <c r="N17" s="43">
        <f>N16/1000000*N12</f>
        <v>2816.9999999999995</v>
      </c>
      <c r="O17" s="43">
        <f>O16/1000000*O12</f>
        <v>2816.9999999999995</v>
      </c>
    </row>
    <row r="18" spans="1:15" x14ac:dyDescent="0.2">
      <c r="A18" s="19">
        <v>45588</v>
      </c>
      <c r="B18" s="15">
        <v>4.08</v>
      </c>
      <c r="C18" s="15">
        <v>4.2469999999999999</v>
      </c>
      <c r="D18" s="16">
        <v>4.6999999999999709</v>
      </c>
      <c r="E18" s="16">
        <v>3.8000000000000256</v>
      </c>
      <c r="F18" s="16">
        <f t="shared" si="0"/>
        <v>0</v>
      </c>
      <c r="G18" s="16">
        <f t="shared" si="1"/>
        <v>0</v>
      </c>
      <c r="H18" s="16">
        <f t="shared" si="2"/>
        <v>0</v>
      </c>
      <c r="I18" s="22">
        <f t="shared" si="3"/>
        <v>882.16421203999448</v>
      </c>
      <c r="J18" s="22">
        <f t="shared" si="4"/>
        <v>2800.1725539600188</v>
      </c>
      <c r="K18" s="22">
        <f t="shared" si="5"/>
        <v>23918.030891932038</v>
      </c>
      <c r="M18" s="43" t="s">
        <v>27</v>
      </c>
      <c r="N18" s="43">
        <f>N17-O17</f>
        <v>0</v>
      </c>
      <c r="O18" s="43"/>
    </row>
    <row r="19" spans="1:15" ht="18" x14ac:dyDescent="0.2">
      <c r="A19" s="19">
        <v>45589</v>
      </c>
      <c r="B19" s="15">
        <v>4.0810000000000004</v>
      </c>
      <c r="C19" s="15">
        <v>4.2130000000000001</v>
      </c>
      <c r="D19" s="16">
        <v>0.1000000000000334</v>
      </c>
      <c r="E19" s="16">
        <v>-3.3999999999999808</v>
      </c>
      <c r="F19" s="16">
        <f t="shared" si="0"/>
        <v>0</v>
      </c>
      <c r="G19" s="16">
        <f t="shared" si="1"/>
        <v>0</v>
      </c>
      <c r="H19" s="16">
        <f t="shared" si="2"/>
        <v>0</v>
      </c>
      <c r="I19" s="22">
        <f t="shared" si="3"/>
        <v>18.779775560006268</v>
      </c>
      <c r="J19" s="22">
        <f t="shared" si="4"/>
        <v>-2513.8727199599857</v>
      </c>
      <c r="K19" s="22">
        <f t="shared" si="5"/>
        <v>-9311.3397417384585</v>
      </c>
      <c r="M19" s="36" t="s">
        <v>3</v>
      </c>
      <c r="N19" s="52">
        <v>4.4887999999999997E-2</v>
      </c>
      <c r="O19" s="52">
        <v>0.69078200000000001</v>
      </c>
    </row>
    <row r="20" spans="1:15" x14ac:dyDescent="0.2">
      <c r="A20" s="19">
        <v>45590</v>
      </c>
      <c r="B20" s="15">
        <v>4.1070000000000002</v>
      </c>
      <c r="C20" s="15">
        <v>4.2409999999999997</v>
      </c>
      <c r="D20" s="16">
        <v>2.5999999999999801</v>
      </c>
      <c r="E20" s="16">
        <v>2.7999999999999581</v>
      </c>
      <c r="F20" s="16">
        <f t="shared" si="0"/>
        <v>0</v>
      </c>
      <c r="G20" s="16">
        <f t="shared" si="1"/>
        <v>0</v>
      </c>
      <c r="H20" s="16">
        <f t="shared" si="2"/>
        <v>0</v>
      </c>
      <c r="I20" s="22">
        <f t="shared" si="3"/>
        <v>488.1282785599962</v>
      </c>
      <c r="J20" s="22">
        <f t="shared" si="4"/>
        <v>2064.2521345599694</v>
      </c>
      <c r="K20" s="22">
        <f t="shared" si="5"/>
        <v>15199.190858236618</v>
      </c>
      <c r="M20" s="22" t="s">
        <v>32</v>
      </c>
      <c r="N20" s="22">
        <f>_xlfn.PERCENTILE.INC($I$3:$I$523,0.99)*$N$16/1000000</f>
        <v>34654.332318719949</v>
      </c>
      <c r="O20" s="22">
        <f>_xlfn.PERCENTILE.INC($J$3:$J$523,0.99)*$O$16/1000000</f>
        <v>34115.525640371001</v>
      </c>
    </row>
    <row r="21" spans="1:15" x14ac:dyDescent="0.2">
      <c r="A21" s="19">
        <v>45593</v>
      </c>
      <c r="B21" s="15">
        <v>4.141</v>
      </c>
      <c r="C21" s="15">
        <v>4.2830000000000004</v>
      </c>
      <c r="D21" s="16">
        <v>3.3999999999999808</v>
      </c>
      <c r="E21" s="16">
        <v>4.2000000000000703</v>
      </c>
      <c r="F21" s="16">
        <f t="shared" si="0"/>
        <v>0</v>
      </c>
      <c r="G21" s="16">
        <f t="shared" si="1"/>
        <v>0</v>
      </c>
      <c r="H21" s="16">
        <f t="shared" si="2"/>
        <v>0</v>
      </c>
      <c r="I21" s="22">
        <f t="shared" si="3"/>
        <v>638.26054735999628</v>
      </c>
      <c r="J21" s="22">
        <f t="shared" si="4"/>
        <v>3094.3473027600521</v>
      </c>
      <c r="K21" s="22">
        <f t="shared" si="5"/>
        <v>21382.058240032926</v>
      </c>
      <c r="M21" s="22" t="s">
        <v>33</v>
      </c>
      <c r="N21" s="22">
        <f>_xlfn.PERCENTILE.INC($K$3:$K$523,0.99)</f>
        <v>66844.070082001359</v>
      </c>
      <c r="O21" s="22"/>
    </row>
    <row r="22" spans="1:15" ht="17" x14ac:dyDescent="0.25">
      <c r="A22" s="19">
        <v>45594</v>
      </c>
      <c r="B22" s="15">
        <v>4.0979999999999999</v>
      </c>
      <c r="C22" s="15">
        <v>4.2549999999999999</v>
      </c>
      <c r="D22" s="16">
        <v>-4.3000000000000149</v>
      </c>
      <c r="E22" s="16">
        <v>-2.8000000000000469</v>
      </c>
      <c r="F22" s="16">
        <f t="shared" si="0"/>
        <v>0</v>
      </c>
      <c r="G22" s="16">
        <f t="shared" si="1"/>
        <v>0</v>
      </c>
      <c r="H22" s="16">
        <f t="shared" si="2"/>
        <v>0</v>
      </c>
      <c r="I22" s="22">
        <f t="shared" si="3"/>
        <v>-807.95498956000267</v>
      </c>
      <c r="J22" s="22">
        <f t="shared" si="4"/>
        <v>-2069.6678654400343</v>
      </c>
      <c r="K22" s="22">
        <f t="shared" si="5"/>
        <v>-20017.258163563376</v>
      </c>
      <c r="M22" s="21"/>
    </row>
    <row r="23" spans="1:15" ht="17" x14ac:dyDescent="0.2">
      <c r="A23" s="19">
        <v>45595</v>
      </c>
      <c r="B23" s="15">
        <v>4.1840000000000002</v>
      </c>
      <c r="C23" s="15">
        <v>4.3010000000000002</v>
      </c>
      <c r="D23" s="16">
        <v>8.6000000000000298</v>
      </c>
      <c r="E23" s="16">
        <v>4.6000000000000263</v>
      </c>
      <c r="F23" s="16">
        <f t="shared" si="0"/>
        <v>1</v>
      </c>
      <c r="G23" s="16">
        <f t="shared" si="1"/>
        <v>0</v>
      </c>
      <c r="H23" s="16">
        <f t="shared" si="2"/>
        <v>0</v>
      </c>
      <c r="I23" s="22">
        <f t="shared" si="3"/>
        <v>1613.4200417600052</v>
      </c>
      <c r="J23" s="22">
        <f t="shared" si="4"/>
        <v>3388.4115264400193</v>
      </c>
      <c r="K23" s="22">
        <f t="shared" si="5"/>
        <v>37131.61120616374</v>
      </c>
      <c r="M23" s="51" t="s">
        <v>34</v>
      </c>
      <c r="N23" s="51" t="s">
        <v>35</v>
      </c>
    </row>
    <row r="24" spans="1:15" x14ac:dyDescent="0.2">
      <c r="A24" s="19">
        <v>45596</v>
      </c>
      <c r="B24" s="15">
        <v>4.1719999999999997</v>
      </c>
      <c r="C24" s="15">
        <v>4.2850000000000001</v>
      </c>
      <c r="D24" s="16">
        <v>-1.2000000000000455</v>
      </c>
      <c r="E24" s="16">
        <v>-1.6000000000000014</v>
      </c>
      <c r="F24" s="16">
        <f t="shared" si="0"/>
        <v>0</v>
      </c>
      <c r="G24" s="16">
        <f t="shared" si="1"/>
        <v>0</v>
      </c>
      <c r="H24" s="16">
        <f t="shared" si="2"/>
        <v>0</v>
      </c>
      <c r="I24" s="22">
        <f t="shared" si="3"/>
        <v>-225.39231936000854</v>
      </c>
      <c r="J24" s="22">
        <f t="shared" si="4"/>
        <v>-1182.0042009600011</v>
      </c>
      <c r="K24" s="22">
        <f t="shared" si="5"/>
        <v>-7891.4589357595469</v>
      </c>
      <c r="M24" s="22">
        <v>-8</v>
      </c>
      <c r="N24" s="22" cm="1">
        <f t="array" ref="N24">_xlfn.PERCENTILE.INC(($N$16/1000000)*$I$3:$I$523+M24*$J$3:$J$523,0.99)</f>
        <v>44083.68796689569</v>
      </c>
    </row>
    <row r="25" spans="1:15" x14ac:dyDescent="0.2">
      <c r="A25" s="19">
        <v>45597</v>
      </c>
      <c r="B25" s="15">
        <v>4.2089999999999996</v>
      </c>
      <c r="C25" s="15">
        <v>4.3849999999999998</v>
      </c>
      <c r="D25" s="16">
        <v>3.6999999999999922</v>
      </c>
      <c r="E25" s="16">
        <v>9.9999999999999645</v>
      </c>
      <c r="F25" s="16">
        <f t="shared" si="0"/>
        <v>0</v>
      </c>
      <c r="G25" s="16">
        <f t="shared" si="1"/>
        <v>1</v>
      </c>
      <c r="H25" s="16">
        <f t="shared" si="2"/>
        <v>0</v>
      </c>
      <c r="I25" s="22">
        <f t="shared" si="3"/>
        <v>694.55274163999854</v>
      </c>
      <c r="J25" s="22">
        <f t="shared" si="4"/>
        <v>7347.4608999999746</v>
      </c>
      <c r="K25" s="22">
        <f t="shared" si="5"/>
        <v>38456.488571497743</v>
      </c>
      <c r="M25" s="22">
        <f>M24+0.05</f>
        <v>-7.95</v>
      </c>
      <c r="N25" s="22" cm="1">
        <f t="array" ref="N25">_xlfn.PERCENTILE.INC(($N$16/1000000)*$I$3:$I$523+M25*$J$3:$J$523,0.99)</f>
        <v>43689.755036334587</v>
      </c>
    </row>
    <row r="26" spans="1:15" x14ac:dyDescent="0.2">
      <c r="A26" s="19">
        <v>45600</v>
      </c>
      <c r="B26" s="15">
        <v>4.1619999999999999</v>
      </c>
      <c r="C26" s="15">
        <v>4.2859999999999996</v>
      </c>
      <c r="D26" s="16">
        <v>-4.6999999999999709</v>
      </c>
      <c r="E26" s="16">
        <v>-9.9000000000000199</v>
      </c>
      <c r="F26" s="16">
        <f t="shared" si="0"/>
        <v>1</v>
      </c>
      <c r="G26" s="16">
        <f t="shared" si="1"/>
        <v>1</v>
      </c>
      <c r="H26" s="16">
        <f t="shared" si="2"/>
        <v>1</v>
      </c>
      <c r="I26" s="22">
        <f t="shared" si="3"/>
        <v>-883.15578795999443</v>
      </c>
      <c r="J26" s="22">
        <f t="shared" si="4"/>
        <v>-7342.0317719100149</v>
      </c>
      <c r="K26" s="22">
        <f t="shared" si="5"/>
        <v>-41264.816501695379</v>
      </c>
      <c r="M26" s="22">
        <f t="shared" ref="M26:M89" si="6">M25+0.05</f>
        <v>-7.9</v>
      </c>
      <c r="N26" s="22" cm="1">
        <f t="array" ref="N26">_xlfn.PERCENTILE.INC(($N$16/1000000)*$I$3:$I$523+M26*$J$3:$J$523,0.99)</f>
        <v>43295.822105773492</v>
      </c>
    </row>
    <row r="27" spans="1:15" x14ac:dyDescent="0.2">
      <c r="A27" s="19">
        <v>45601</v>
      </c>
      <c r="B27" s="15">
        <v>4.18</v>
      </c>
      <c r="C27" s="15">
        <v>4.2729999999999997</v>
      </c>
      <c r="D27" s="16">
        <v>1.7999999999999794</v>
      </c>
      <c r="E27" s="16">
        <v>-1.2999999999999901</v>
      </c>
      <c r="F27" s="16">
        <f t="shared" si="0"/>
        <v>0</v>
      </c>
      <c r="G27" s="16">
        <f t="shared" si="1"/>
        <v>0</v>
      </c>
      <c r="H27" s="16">
        <f t="shared" si="2"/>
        <v>0</v>
      </c>
      <c r="I27" s="22">
        <f t="shared" si="3"/>
        <v>337.9672814399961</v>
      </c>
      <c r="J27" s="22">
        <f t="shared" si="4"/>
        <v>-960.24371078999263</v>
      </c>
      <c r="K27" s="22">
        <f t="shared" si="5"/>
        <v>1405.1817584525434</v>
      </c>
      <c r="M27" s="22">
        <f t="shared" si="6"/>
        <v>-7.8500000000000005</v>
      </c>
      <c r="N27" s="22" cm="1">
        <f t="array" ref="N27">_xlfn.PERCENTILE.INC(($N$16/1000000)*$I$3:$I$523+M27*$J$3:$J$523,0.99)</f>
        <v>42901.889175212396</v>
      </c>
    </row>
    <row r="28" spans="1:15" x14ac:dyDescent="0.2">
      <c r="A28" s="19">
        <v>45602</v>
      </c>
      <c r="B28" s="15">
        <v>4.2640000000000002</v>
      </c>
      <c r="C28" s="15">
        <v>4.4329999999999998</v>
      </c>
      <c r="D28" s="16">
        <v>8.4000000000000519</v>
      </c>
      <c r="E28" s="16">
        <v>16.000000000000014</v>
      </c>
      <c r="F28" s="16">
        <f t="shared" si="0"/>
        <v>1</v>
      </c>
      <c r="G28" s="16">
        <f t="shared" si="1"/>
        <v>1</v>
      </c>
      <c r="H28" s="16">
        <f t="shared" si="2"/>
        <v>1</v>
      </c>
      <c r="I28" s="22">
        <f t="shared" si="3"/>
        <v>1575.9363513600094</v>
      </c>
      <c r="J28" s="22">
        <f t="shared" si="4"/>
        <v>11722.77990400001</v>
      </c>
      <c r="K28" s="22">
        <f t="shared" si="5"/>
        <v>68373.630734458697</v>
      </c>
      <c r="M28" s="22">
        <f t="shared" si="6"/>
        <v>-7.8000000000000007</v>
      </c>
      <c r="N28" s="22" cm="1">
        <f t="array" ref="N28">_xlfn.PERCENTILE.INC(($N$16/1000000)*$I$3:$I$523+M28*$J$3:$J$523,0.99)</f>
        <v>42509.691752489714</v>
      </c>
    </row>
    <row r="29" spans="1:15" x14ac:dyDescent="0.2">
      <c r="A29" s="19">
        <v>45603</v>
      </c>
      <c r="B29" s="15">
        <v>4.2</v>
      </c>
      <c r="C29" s="15">
        <v>4.3280000000000003</v>
      </c>
      <c r="D29" s="16">
        <v>-6.4000000000000057</v>
      </c>
      <c r="E29" s="16">
        <v>-10.499999999999954</v>
      </c>
      <c r="F29" s="16">
        <f t="shared" si="0"/>
        <v>1</v>
      </c>
      <c r="G29" s="16">
        <f t="shared" si="1"/>
        <v>1</v>
      </c>
      <c r="H29" s="16">
        <f t="shared" si="2"/>
        <v>1</v>
      </c>
      <c r="I29" s="22">
        <f t="shared" si="3"/>
        <v>-1202.839306240001</v>
      </c>
      <c r="J29" s="22">
        <f t="shared" si="4"/>
        <v>-7789.1793577499648</v>
      </c>
      <c r="K29" s="22">
        <f t="shared" si="5"/>
        <v>-47766.40190839499</v>
      </c>
      <c r="M29" s="22">
        <f t="shared" si="6"/>
        <v>-7.7500000000000009</v>
      </c>
      <c r="N29" s="22" cm="1">
        <f t="array" ref="N29">_xlfn.PERCENTILE.INC(($N$16/1000000)*$I$3:$I$523+M29*$J$3:$J$523,0.99)</f>
        <v>42127.683862802216</v>
      </c>
    </row>
    <row r="30" spans="1:15" x14ac:dyDescent="0.2">
      <c r="A30" s="19">
        <v>45604</v>
      </c>
      <c r="B30" s="15">
        <v>4.2549999999999999</v>
      </c>
      <c r="C30" s="15">
        <v>4.3049999999999997</v>
      </c>
      <c r="D30" s="16">
        <v>5.4999999999999716</v>
      </c>
      <c r="E30" s="16">
        <v>-2.3000000000000576</v>
      </c>
      <c r="F30" s="16">
        <f t="shared" si="0"/>
        <v>1</v>
      </c>
      <c r="G30" s="16">
        <f t="shared" si="1"/>
        <v>0</v>
      </c>
      <c r="H30" s="16">
        <f t="shared" si="2"/>
        <v>0</v>
      </c>
      <c r="I30" s="22">
        <f t="shared" si="3"/>
        <v>1032.2210689999945</v>
      </c>
      <c r="J30" s="22">
        <f t="shared" si="4"/>
        <v>-1699.6871183900425</v>
      </c>
      <c r="K30" s="22">
        <f t="shared" si="5"/>
        <v>8997.2436799406532</v>
      </c>
      <c r="M30" s="22">
        <f t="shared" si="6"/>
        <v>-7.7000000000000011</v>
      </c>
      <c r="N30" s="22" cm="1">
        <f t="array" ref="N30">_xlfn.PERCENTILE.INC(($N$16/1000000)*$I$3:$I$523+M30*$J$3:$J$523,0.99)</f>
        <v>41745.675973114725</v>
      </c>
    </row>
    <row r="31" spans="1:15" x14ac:dyDescent="0.2">
      <c r="A31" s="19">
        <v>45607</v>
      </c>
      <c r="B31" s="15">
        <v>4.2549999999999999</v>
      </c>
      <c r="C31" s="15">
        <v>4.3049999999999997</v>
      </c>
      <c r="D31" s="16">
        <v>0</v>
      </c>
      <c r="E31" s="16">
        <v>0</v>
      </c>
      <c r="F31" s="16">
        <f t="shared" si="0"/>
        <v>0</v>
      </c>
      <c r="G31" s="16">
        <f t="shared" si="1"/>
        <v>0</v>
      </c>
      <c r="H31" s="16">
        <f t="shared" si="2"/>
        <v>0</v>
      </c>
      <c r="I31" s="22">
        <f t="shared" si="3"/>
        <v>0</v>
      </c>
      <c r="J31" s="22">
        <f t="shared" si="4"/>
        <v>0</v>
      </c>
      <c r="K31" s="22">
        <f t="shared" si="5"/>
        <v>0</v>
      </c>
      <c r="M31" s="22">
        <f t="shared" si="6"/>
        <v>-7.6500000000000012</v>
      </c>
      <c r="N31" s="22" cm="1">
        <f t="array" ref="N31">_xlfn.PERCENTILE.INC(($N$16/1000000)*$I$3:$I$523+M31*$J$3:$J$523,0.99)</f>
        <v>41363.668083427227</v>
      </c>
    </row>
    <row r="32" spans="1:15" x14ac:dyDescent="0.2">
      <c r="A32" s="19">
        <v>45608</v>
      </c>
      <c r="B32" s="15">
        <v>4.3419999999999996</v>
      </c>
      <c r="C32" s="15">
        <v>4.4290000000000003</v>
      </c>
      <c r="D32" s="16">
        <v>8.6999999999999744</v>
      </c>
      <c r="E32" s="16">
        <v>12.400000000000055</v>
      </c>
      <c r="F32" s="16">
        <f t="shared" si="0"/>
        <v>1</v>
      </c>
      <c r="G32" s="16">
        <f t="shared" si="1"/>
        <v>1</v>
      </c>
      <c r="H32" s="16">
        <f t="shared" si="2"/>
        <v>1</v>
      </c>
      <c r="I32" s="22">
        <f t="shared" si="3"/>
        <v>1632.1612136399951</v>
      </c>
      <c r="J32" s="22">
        <f t="shared" si="4"/>
        <v>9100.5726798400392</v>
      </c>
      <c r="K32" s="22">
        <f t="shared" si="5"/>
        <v>59210.558598950221</v>
      </c>
      <c r="M32" s="22">
        <f t="shared" si="6"/>
        <v>-7.6000000000000014</v>
      </c>
      <c r="N32" s="22" cm="1">
        <f t="array" ref="N32">_xlfn.PERCENTILE.INC(($N$16/1000000)*$I$3:$I$523+M32*$J$3:$J$523,0.99)</f>
        <v>40981.660193739728</v>
      </c>
    </row>
    <row r="33" spans="1:14" x14ac:dyDescent="0.2">
      <c r="A33" s="19">
        <v>45609</v>
      </c>
      <c r="B33" s="15">
        <v>4.2880000000000003</v>
      </c>
      <c r="C33" s="15">
        <v>4.452</v>
      </c>
      <c r="D33" s="16">
        <v>-5.3999999999999382</v>
      </c>
      <c r="E33" s="16">
        <v>2.2999999999999687</v>
      </c>
      <c r="F33" s="16">
        <f t="shared" si="0"/>
        <v>1</v>
      </c>
      <c r="G33" s="16">
        <f t="shared" si="1"/>
        <v>0</v>
      </c>
      <c r="H33" s="16">
        <f t="shared" si="2"/>
        <v>0</v>
      </c>
      <c r="I33" s="22">
        <f t="shared" si="3"/>
        <v>-1014.7744670399883</v>
      </c>
      <c r="J33" s="22">
        <f t="shared" si="4"/>
        <v>1696.032881609977</v>
      </c>
      <c r="K33" s="22">
        <f t="shared" si="5"/>
        <v>-8749.4893606590158</v>
      </c>
      <c r="M33" s="22">
        <f t="shared" si="6"/>
        <v>-7.5500000000000016</v>
      </c>
      <c r="N33" s="22" cm="1">
        <f t="array" ref="N33">_xlfn.PERCENTILE.INC(($N$16/1000000)*$I$3:$I$523+M33*$J$3:$J$523,0.99)</f>
        <v>40599.652304052244</v>
      </c>
    </row>
    <row r="34" spans="1:14" x14ac:dyDescent="0.2">
      <c r="A34" s="19">
        <v>45610</v>
      </c>
      <c r="B34" s="15">
        <v>4.3470000000000004</v>
      </c>
      <c r="C34" s="15">
        <v>4.4370000000000003</v>
      </c>
      <c r="D34" s="16">
        <v>5.9000000000000163</v>
      </c>
      <c r="E34" s="16">
        <v>-1.499999999999968</v>
      </c>
      <c r="F34" s="16">
        <f t="shared" si="0"/>
        <v>1</v>
      </c>
      <c r="G34" s="16">
        <f t="shared" si="1"/>
        <v>0</v>
      </c>
      <c r="H34" s="16">
        <f t="shared" si="2"/>
        <v>0</v>
      </c>
      <c r="I34" s="22">
        <f t="shared" si="3"/>
        <v>1107.2387243600031</v>
      </c>
      <c r="J34" s="22">
        <f t="shared" si="4"/>
        <v>-1108.0771297499762</v>
      </c>
      <c r="K34" s="22">
        <f t="shared" si="5"/>
        <v>12380.115307955341</v>
      </c>
      <c r="M34" s="22">
        <f t="shared" si="6"/>
        <v>-7.5000000000000018</v>
      </c>
      <c r="N34" s="22" cm="1">
        <f t="array" ref="N34">_xlfn.PERCENTILE.INC(($N$16/1000000)*$I$3:$I$523+M34*$J$3:$J$523,0.99)</f>
        <v>40217.644414364746</v>
      </c>
    </row>
    <row r="35" spans="1:14" x14ac:dyDescent="0.2">
      <c r="A35" s="19">
        <v>45611</v>
      </c>
      <c r="B35" s="15">
        <v>4.3049999999999997</v>
      </c>
      <c r="C35" s="15">
        <v>4.4400000000000004</v>
      </c>
      <c r="D35" s="16">
        <v>-4.2000000000000703</v>
      </c>
      <c r="E35" s="16">
        <v>0.30000000000001137</v>
      </c>
      <c r="F35" s="16">
        <f t="shared" si="0"/>
        <v>0</v>
      </c>
      <c r="G35" s="16">
        <f t="shared" si="1"/>
        <v>0</v>
      </c>
      <c r="H35" s="16">
        <f t="shared" si="2"/>
        <v>0</v>
      </c>
      <c r="I35" s="22">
        <f t="shared" si="3"/>
        <v>-789.15591216001326</v>
      </c>
      <c r="J35" s="22">
        <f t="shared" si="4"/>
        <v>221.42891481000837</v>
      </c>
      <c r="K35" s="22">
        <f t="shared" si="5"/>
        <v>-10992.35730469796</v>
      </c>
      <c r="M35" s="22">
        <f t="shared" si="6"/>
        <v>-7.450000000000002</v>
      </c>
      <c r="N35" s="22" cm="1">
        <f t="array" ref="N35">_xlfn.PERCENTILE.INC(($N$16/1000000)*$I$3:$I$523+M35*$J$3:$J$523,0.99)</f>
        <v>39835.636524677248</v>
      </c>
    </row>
    <row r="36" spans="1:14" x14ac:dyDescent="0.2">
      <c r="A36" s="19">
        <v>45614</v>
      </c>
      <c r="B36" s="15">
        <v>4.2809999999999997</v>
      </c>
      <c r="C36" s="15">
        <v>4.415</v>
      </c>
      <c r="D36" s="16">
        <v>-2.4000000000000021</v>
      </c>
      <c r="E36" s="16">
        <v>-2.5000000000000355</v>
      </c>
      <c r="F36" s="16">
        <f t="shared" si="0"/>
        <v>0</v>
      </c>
      <c r="G36" s="16">
        <f t="shared" si="1"/>
        <v>0</v>
      </c>
      <c r="H36" s="16">
        <f t="shared" si="2"/>
        <v>0</v>
      </c>
      <c r="I36" s="22">
        <f t="shared" si="3"/>
        <v>-450.84927744000038</v>
      </c>
      <c r="J36" s="22">
        <f t="shared" si="4"/>
        <v>-1847.658693750026</v>
      </c>
      <c r="K36" s="22">
        <f t="shared" si="5"/>
        <v>-13813.476821168988</v>
      </c>
      <c r="M36" s="22">
        <f t="shared" si="6"/>
        <v>-7.4000000000000021</v>
      </c>
      <c r="N36" s="22" cm="1">
        <f t="array" ref="N36">_xlfn.PERCENTILE.INC(($N$16/1000000)*$I$3:$I$523+M36*$J$3:$J$523,0.99)</f>
        <v>39453.628634989756</v>
      </c>
    </row>
    <row r="37" spans="1:14" x14ac:dyDescent="0.2">
      <c r="A37" s="19">
        <v>45615</v>
      </c>
      <c r="B37" s="15">
        <v>4.282</v>
      </c>
      <c r="C37" s="15">
        <v>4.3970000000000002</v>
      </c>
      <c r="D37" s="16">
        <v>0.1000000000000334</v>
      </c>
      <c r="E37" s="16">
        <v>-1.7999999999999794</v>
      </c>
      <c r="F37" s="16">
        <f t="shared" si="0"/>
        <v>0</v>
      </c>
      <c r="G37" s="16">
        <f t="shared" si="1"/>
        <v>0</v>
      </c>
      <c r="H37" s="16">
        <f t="shared" si="2"/>
        <v>0</v>
      </c>
      <c r="I37" s="22">
        <f t="shared" si="3"/>
        <v>18.779775560006268</v>
      </c>
      <c r="J37" s="22">
        <f t="shared" si="4"/>
        <v>-1329.8790668399845</v>
      </c>
      <c r="K37" s="22">
        <f t="shared" si="5"/>
        <v>-4793.1737693203559</v>
      </c>
      <c r="M37" s="22">
        <f t="shared" si="6"/>
        <v>-7.3500000000000023</v>
      </c>
      <c r="N37" s="22" cm="1">
        <f t="array" ref="N37">_xlfn.PERCENTILE.INC(($N$16/1000000)*$I$3:$I$523+M37*$J$3:$J$523,0.99)</f>
        <v>39071.620745302258</v>
      </c>
    </row>
    <row r="38" spans="1:14" x14ac:dyDescent="0.2">
      <c r="A38" s="19">
        <v>45616</v>
      </c>
      <c r="B38" s="15">
        <v>4.3170000000000002</v>
      </c>
      <c r="C38" s="15">
        <v>4.4119999999999999</v>
      </c>
      <c r="D38" s="16">
        <v>3.5000000000000142</v>
      </c>
      <c r="E38" s="16">
        <v>1.499999999999968</v>
      </c>
      <c r="F38" s="16">
        <f t="shared" si="0"/>
        <v>0</v>
      </c>
      <c r="G38" s="16">
        <f t="shared" si="1"/>
        <v>0</v>
      </c>
      <c r="H38" s="16">
        <f t="shared" si="2"/>
        <v>0</v>
      </c>
      <c r="I38" s="22">
        <f t="shared" si="3"/>
        <v>657.02506100000267</v>
      </c>
      <c r="J38" s="22">
        <f t="shared" si="4"/>
        <v>1106.5228702499764</v>
      </c>
      <c r="K38" s="22">
        <f t="shared" si="5"/>
        <v>14077.910357555153</v>
      </c>
      <c r="M38" s="22">
        <f t="shared" si="6"/>
        <v>-7.3000000000000025</v>
      </c>
      <c r="N38" s="22" cm="1">
        <f t="array" ref="N38">_xlfn.PERCENTILE.INC(($N$16/1000000)*$I$3:$I$523+M38*$J$3:$J$523,0.99)</f>
        <v>38689.61285561476</v>
      </c>
    </row>
    <row r="39" spans="1:14" x14ac:dyDescent="0.2">
      <c r="A39" s="19">
        <v>45617</v>
      </c>
      <c r="B39" s="15">
        <v>4.3499999999999996</v>
      </c>
      <c r="C39" s="15">
        <v>4.423</v>
      </c>
      <c r="D39" s="16">
        <v>3.2999999999999474</v>
      </c>
      <c r="E39" s="16">
        <v>1.1000000000000121</v>
      </c>
      <c r="F39" s="16">
        <f t="shared" si="0"/>
        <v>0</v>
      </c>
      <c r="G39" s="16">
        <f t="shared" si="1"/>
        <v>0</v>
      </c>
      <c r="H39" s="16">
        <f t="shared" si="2"/>
        <v>0</v>
      </c>
      <c r="I39" s="22">
        <f t="shared" si="3"/>
        <v>619.49558483998999</v>
      </c>
      <c r="J39" s="22">
        <f t="shared" si="4"/>
        <v>811.60207689000902</v>
      </c>
      <c r="K39" s="22">
        <f t="shared" si="5"/>
        <v>12389.538961707349</v>
      </c>
      <c r="M39" s="22">
        <f t="shared" si="6"/>
        <v>-7.2500000000000027</v>
      </c>
      <c r="N39" s="22" cm="1">
        <f t="array" ref="N39">_xlfn.PERCENTILE.INC(($N$16/1000000)*$I$3:$I$523+M39*$J$3:$J$523,0.99)</f>
        <v>38307.604965927268</v>
      </c>
    </row>
    <row r="40" spans="1:14" x14ac:dyDescent="0.2">
      <c r="A40" s="19">
        <v>45618</v>
      </c>
      <c r="B40" s="15">
        <v>4.3760000000000003</v>
      </c>
      <c r="C40" s="15">
        <v>4.4009999999999998</v>
      </c>
      <c r="D40" s="16">
        <v>2.6000000000000689</v>
      </c>
      <c r="E40" s="16">
        <v>-2.2000000000000242</v>
      </c>
      <c r="F40" s="16">
        <f t="shared" si="0"/>
        <v>0</v>
      </c>
      <c r="G40" s="16">
        <f t="shared" si="1"/>
        <v>0</v>
      </c>
      <c r="H40" s="16">
        <f t="shared" si="2"/>
        <v>0</v>
      </c>
      <c r="I40" s="22">
        <f t="shared" si="3"/>
        <v>488.12827856001292</v>
      </c>
      <c r="J40" s="22">
        <f t="shared" si="4"/>
        <v>-1625.7116924400182</v>
      </c>
      <c r="K40" s="22">
        <f t="shared" si="5"/>
        <v>1118.1449348299811</v>
      </c>
      <c r="M40" s="22">
        <f t="shared" si="6"/>
        <v>-7.2000000000000028</v>
      </c>
      <c r="N40" s="22" cm="1">
        <f t="array" ref="N40">_xlfn.PERCENTILE.INC(($N$16/1000000)*$I$3:$I$523+M40*$J$3:$J$523,0.99)</f>
        <v>37918.873758921334</v>
      </c>
    </row>
    <row r="41" spans="1:14" x14ac:dyDescent="0.2">
      <c r="A41" s="19">
        <v>45621</v>
      </c>
      <c r="B41" s="15">
        <v>4.2720000000000002</v>
      </c>
      <c r="C41" s="15">
        <v>4.2750000000000004</v>
      </c>
      <c r="D41" s="16">
        <v>-10.400000000000009</v>
      </c>
      <c r="E41" s="16">
        <v>-12.599999999999945</v>
      </c>
      <c r="F41" s="16">
        <f t="shared" si="0"/>
        <v>1</v>
      </c>
      <c r="G41" s="16">
        <f t="shared" si="1"/>
        <v>1</v>
      </c>
      <c r="H41" s="16">
        <f t="shared" si="2"/>
        <v>1</v>
      </c>
      <c r="I41" s="22">
        <f t="shared" si="3"/>
        <v>-1955.5475430400015</v>
      </c>
      <c r="J41" s="22">
        <f t="shared" si="4"/>
        <v>-9356.1542751599573</v>
      </c>
      <c r="K41" s="22">
        <f t="shared" si="5"/>
        <v>-65036.662878904812</v>
      </c>
      <c r="M41" s="22">
        <f t="shared" si="6"/>
        <v>-7.150000000000003</v>
      </c>
      <c r="N41" s="22" cm="1">
        <f t="array" ref="N41">_xlfn.PERCENTILE.INC(($N$16/1000000)*$I$3:$I$523+M41*$J$3:$J$523,0.99)</f>
        <v>37474.186872537444</v>
      </c>
    </row>
    <row r="42" spans="1:14" x14ac:dyDescent="0.2">
      <c r="A42" s="19">
        <v>45622</v>
      </c>
      <c r="B42" s="15">
        <v>4.2569999999999997</v>
      </c>
      <c r="C42" s="15">
        <v>4.3070000000000004</v>
      </c>
      <c r="D42" s="16">
        <v>-1.5000000000000568</v>
      </c>
      <c r="E42" s="16">
        <v>3.2000000000000028</v>
      </c>
      <c r="F42" s="16">
        <f t="shared" si="0"/>
        <v>0</v>
      </c>
      <c r="G42" s="16">
        <f t="shared" si="1"/>
        <v>0</v>
      </c>
      <c r="H42" s="16">
        <f t="shared" si="2"/>
        <v>0</v>
      </c>
      <c r="I42" s="22">
        <f t="shared" si="3"/>
        <v>-281.75049900001073</v>
      </c>
      <c r="J42" s="22">
        <f t="shared" si="4"/>
        <v>2358.7031961600023</v>
      </c>
      <c r="K42" s="22">
        <f t="shared" si="5"/>
        <v>4774.6459335621885</v>
      </c>
      <c r="M42" s="22">
        <f t="shared" si="6"/>
        <v>-7.1000000000000032</v>
      </c>
      <c r="N42" s="22" cm="1">
        <f t="array" ref="N42">_xlfn.PERCENTILE.INC(($N$16/1000000)*$I$3:$I$523+M42*$J$3:$J$523,0.99)</f>
        <v>37029.499986153547</v>
      </c>
    </row>
    <row r="43" spans="1:14" x14ac:dyDescent="0.2">
      <c r="A43" s="19">
        <v>45623</v>
      </c>
      <c r="B43" s="15">
        <v>4.2290000000000001</v>
      </c>
      <c r="C43" s="15">
        <v>4.2640000000000002</v>
      </c>
      <c r="D43" s="16">
        <v>-2.7999999999999581</v>
      </c>
      <c r="E43" s="16">
        <v>-4.3000000000000149</v>
      </c>
      <c r="F43" s="16">
        <f t="shared" si="0"/>
        <v>0</v>
      </c>
      <c r="G43" s="16">
        <f t="shared" si="1"/>
        <v>0</v>
      </c>
      <c r="H43" s="16">
        <f t="shared" si="2"/>
        <v>0</v>
      </c>
      <c r="I43" s="22">
        <f t="shared" si="3"/>
        <v>-526.01596095999207</v>
      </c>
      <c r="J43" s="22">
        <f t="shared" si="4"/>
        <v>-3180.6462795900111</v>
      </c>
      <c r="K43" s="22">
        <f t="shared" si="5"/>
        <v>-20027.709706468508</v>
      </c>
      <c r="M43" s="22">
        <f t="shared" si="6"/>
        <v>-7.0500000000000034</v>
      </c>
      <c r="N43" s="22" cm="1">
        <f t="array" ref="N43">_xlfn.PERCENTILE.INC(($N$16/1000000)*$I$3:$I$523+M43*$J$3:$J$523,0.99)</f>
        <v>36584.813099769657</v>
      </c>
    </row>
    <row r="44" spans="1:14" x14ac:dyDescent="0.2">
      <c r="A44" s="19">
        <v>45624</v>
      </c>
      <c r="B44" s="15">
        <v>4.2290000000000001</v>
      </c>
      <c r="C44" s="15">
        <v>4.2640000000000002</v>
      </c>
      <c r="D44" s="16">
        <v>0</v>
      </c>
      <c r="E44" s="16">
        <v>0</v>
      </c>
      <c r="F44" s="16">
        <f t="shared" si="0"/>
        <v>0</v>
      </c>
      <c r="G44" s="16">
        <f t="shared" si="1"/>
        <v>0</v>
      </c>
      <c r="H44" s="16">
        <f t="shared" si="2"/>
        <v>0</v>
      </c>
      <c r="I44" s="22">
        <f t="shared" si="3"/>
        <v>0</v>
      </c>
      <c r="J44" s="22">
        <f t="shared" si="4"/>
        <v>0</v>
      </c>
      <c r="K44" s="22">
        <f t="shared" si="5"/>
        <v>0</v>
      </c>
      <c r="M44" s="22">
        <f t="shared" si="6"/>
        <v>-7.0000000000000036</v>
      </c>
      <c r="N44" s="22" cm="1">
        <f t="array" ref="N44">_xlfn.PERCENTILE.INC(($N$16/1000000)*$I$3:$I$523+M44*$J$3:$J$523,0.99)</f>
        <v>36140.126213385753</v>
      </c>
    </row>
    <row r="45" spans="1:14" x14ac:dyDescent="0.2">
      <c r="A45" s="19">
        <v>45625</v>
      </c>
      <c r="B45" s="15">
        <v>4.1529999999999996</v>
      </c>
      <c r="C45" s="15">
        <v>4.17</v>
      </c>
      <c r="D45" s="16">
        <v>-7.6000000000000512</v>
      </c>
      <c r="E45" s="16">
        <v>-9.4000000000000306</v>
      </c>
      <c r="F45" s="16">
        <f t="shared" si="0"/>
        <v>1</v>
      </c>
      <c r="G45" s="16">
        <f t="shared" si="1"/>
        <v>1</v>
      </c>
      <c r="H45" s="16">
        <f t="shared" si="2"/>
        <v>1</v>
      </c>
      <c r="I45" s="22">
        <f t="shared" si="3"/>
        <v>-1428.5763654400096</v>
      </c>
      <c r="J45" s="22">
        <f t="shared" si="4"/>
        <v>-6969.5987487600232</v>
      </c>
      <c r="K45" s="22">
        <f t="shared" si="5"/>
        <v>-48024.906217521282</v>
      </c>
      <c r="M45" s="22">
        <f t="shared" si="6"/>
        <v>-6.9500000000000037</v>
      </c>
      <c r="N45" s="22" cm="1">
        <f t="array" ref="N45">_xlfn.PERCENTILE.INC(($N$16/1000000)*$I$3:$I$523+M45*$J$3:$J$523,0.99)</f>
        <v>35705.58010772233</v>
      </c>
    </row>
    <row r="46" spans="1:14" x14ac:dyDescent="0.2">
      <c r="A46" s="19">
        <v>45628</v>
      </c>
      <c r="B46" s="15">
        <v>4.1820000000000004</v>
      </c>
      <c r="C46" s="15">
        <v>4.1920000000000002</v>
      </c>
      <c r="D46" s="16">
        <v>2.9000000000000803</v>
      </c>
      <c r="E46" s="16">
        <v>2.2000000000000242</v>
      </c>
      <c r="F46" s="16">
        <f t="shared" si="0"/>
        <v>0</v>
      </c>
      <c r="G46" s="16">
        <f t="shared" si="1"/>
        <v>0</v>
      </c>
      <c r="H46" s="16">
        <f t="shared" si="2"/>
        <v>0</v>
      </c>
      <c r="I46" s="22">
        <f t="shared" si="3"/>
        <v>544.43124596001496</v>
      </c>
      <c r="J46" s="22">
        <f t="shared" si="4"/>
        <v>1622.3683075600179</v>
      </c>
      <c r="K46" s="22">
        <f t="shared" si="5"/>
        <v>14357.48944583015</v>
      </c>
      <c r="M46" s="22">
        <f t="shared" si="6"/>
        <v>-6.9000000000000039</v>
      </c>
      <c r="N46" s="22" cm="1">
        <f t="array" ref="N46">_xlfn.PERCENTILE.INC(($N$16/1000000)*$I$3:$I$523+M46*$J$3:$J$523,0.99)</f>
        <v>35330.255703460731</v>
      </c>
    </row>
    <row r="47" spans="1:14" x14ac:dyDescent="0.2">
      <c r="A47" s="19">
        <v>45629</v>
      </c>
      <c r="B47" s="15">
        <v>4.181</v>
      </c>
      <c r="C47" s="15">
        <v>4.2249999999999996</v>
      </c>
      <c r="D47" s="16">
        <v>-0.1000000000000334</v>
      </c>
      <c r="E47" s="16">
        <v>3.2999999999999474</v>
      </c>
      <c r="F47" s="16">
        <f t="shared" si="0"/>
        <v>0</v>
      </c>
      <c r="G47" s="16">
        <f t="shared" si="1"/>
        <v>0</v>
      </c>
      <c r="H47" s="16">
        <f t="shared" si="2"/>
        <v>0</v>
      </c>
      <c r="I47" s="22">
        <f t="shared" si="3"/>
        <v>-18.780224440006272</v>
      </c>
      <c r="J47" s="22">
        <f t="shared" si="4"/>
        <v>2432.2986920099611</v>
      </c>
      <c r="K47" s="22">
        <f t="shared" si="5"/>
        <v>9000.0433353669341</v>
      </c>
      <c r="M47" s="22">
        <f t="shared" si="6"/>
        <v>-6.8500000000000041</v>
      </c>
      <c r="N47" s="22" cm="1">
        <f t="array" ref="N47">_xlfn.PERCENTILE.INC(($N$16/1000000)*$I$3:$I$523+M47*$J$3:$J$523,0.99)</f>
        <v>34954.931299199125</v>
      </c>
    </row>
    <row r="48" spans="1:14" x14ac:dyDescent="0.2">
      <c r="A48" s="19">
        <v>45630</v>
      </c>
      <c r="B48" s="15">
        <v>4.1280000000000001</v>
      </c>
      <c r="C48" s="15">
        <v>4.181</v>
      </c>
      <c r="D48" s="16">
        <v>-5.2999999999999936</v>
      </c>
      <c r="E48" s="16">
        <v>-4.3999999999999595</v>
      </c>
      <c r="F48" s="16">
        <f t="shared" si="0"/>
        <v>1</v>
      </c>
      <c r="G48" s="16">
        <f t="shared" si="1"/>
        <v>0</v>
      </c>
      <c r="H48" s="16">
        <f t="shared" si="2"/>
        <v>0</v>
      </c>
      <c r="I48" s="22">
        <f t="shared" si="3"/>
        <v>-995.97045195999874</v>
      </c>
      <c r="J48" s="22">
        <f t="shared" si="4"/>
        <v>-3254.7667697599695</v>
      </c>
      <c r="K48" s="22">
        <f t="shared" si="5"/>
        <v>-27359.87375368044</v>
      </c>
      <c r="M48" s="22">
        <f t="shared" si="6"/>
        <v>-6.8000000000000043</v>
      </c>
      <c r="N48" s="22" cm="1">
        <f t="array" ref="N48">_xlfn.PERCENTILE.INC(($N$16/1000000)*$I$3:$I$523+M48*$J$3:$J$523,0.99)</f>
        <v>34579.606894937526</v>
      </c>
    </row>
    <row r="49" spans="1:14" x14ac:dyDescent="0.2">
      <c r="A49" s="19">
        <v>45631</v>
      </c>
      <c r="B49" s="15">
        <v>4.1449999999999996</v>
      </c>
      <c r="C49" s="15">
        <v>4.1769999999999996</v>
      </c>
      <c r="D49" s="16">
        <v>1.699999999999946</v>
      </c>
      <c r="E49" s="16">
        <v>-0.40000000000004476</v>
      </c>
      <c r="F49" s="16">
        <f t="shared" si="0"/>
        <v>0</v>
      </c>
      <c r="G49" s="16">
        <f t="shared" si="1"/>
        <v>0</v>
      </c>
      <c r="H49" s="16">
        <f t="shared" si="2"/>
        <v>0</v>
      </c>
      <c r="I49" s="22">
        <f t="shared" si="3"/>
        <v>319.19513683998986</v>
      </c>
      <c r="J49" s="22">
        <f t="shared" si="4"/>
        <v>-295.33526256003302</v>
      </c>
      <c r="K49" s="22">
        <f t="shared" si="5"/>
        <v>3660.9161685147587</v>
      </c>
      <c r="M49" s="22">
        <f t="shared" si="6"/>
        <v>-6.7500000000000044</v>
      </c>
      <c r="N49" s="22" cm="1">
        <f t="array" ref="N49">_xlfn.PERCENTILE.INC(($N$16/1000000)*$I$3:$I$523+M49*$J$3:$J$523,0.99)</f>
        <v>34204.282490675912</v>
      </c>
    </row>
    <row r="50" spans="1:14" x14ac:dyDescent="0.2">
      <c r="A50" s="19">
        <v>45632</v>
      </c>
      <c r="B50" s="15">
        <v>4.1050000000000004</v>
      </c>
      <c r="C50" s="15">
        <v>4.1539999999999999</v>
      </c>
      <c r="D50" s="16">
        <v>-3.9999999999999147</v>
      </c>
      <c r="E50" s="16">
        <v>-2.2999999999999687</v>
      </c>
      <c r="F50" s="16">
        <f t="shared" si="0"/>
        <v>0</v>
      </c>
      <c r="G50" s="16">
        <f t="shared" si="1"/>
        <v>0</v>
      </c>
      <c r="H50" s="16">
        <f t="shared" si="2"/>
        <v>0</v>
      </c>
      <c r="I50" s="22">
        <f t="shared" si="3"/>
        <v>-751.5591039999839</v>
      </c>
      <c r="J50" s="22">
        <f t="shared" si="4"/>
        <v>-1699.6871183899766</v>
      </c>
      <c r="K50" s="22">
        <f t="shared" si="5"/>
        <v>-17759.458915058771</v>
      </c>
      <c r="M50" s="22">
        <f t="shared" si="6"/>
        <v>-6.7000000000000046</v>
      </c>
      <c r="N50" s="22" cm="1">
        <f t="array" ref="N50">_xlfn.PERCENTILE.INC(($N$16/1000000)*$I$3:$I$523+M50*$J$3:$J$523,0.99)</f>
        <v>33828.958086414314</v>
      </c>
    </row>
    <row r="51" spans="1:14" x14ac:dyDescent="0.2">
      <c r="A51" s="19">
        <v>45635</v>
      </c>
      <c r="B51" s="15">
        <v>4.1260000000000003</v>
      </c>
      <c r="C51" s="15">
        <v>4.202</v>
      </c>
      <c r="D51" s="16">
        <v>2.0999999999999908</v>
      </c>
      <c r="E51" s="16">
        <v>4.8000000000000043</v>
      </c>
      <c r="F51" s="16">
        <f t="shared" si="0"/>
        <v>0</v>
      </c>
      <c r="G51" s="16">
        <f t="shared" si="1"/>
        <v>0</v>
      </c>
      <c r="H51" s="16">
        <f t="shared" si="2"/>
        <v>0</v>
      </c>
      <c r="I51" s="22">
        <f t="shared" si="3"/>
        <v>394.28102195999821</v>
      </c>
      <c r="J51" s="22">
        <f t="shared" si="4"/>
        <v>3535.4021913600027</v>
      </c>
      <c r="K51" s="22">
        <f t="shared" si="5"/>
        <v>19405.448021165248</v>
      </c>
      <c r="M51" s="22">
        <f t="shared" si="6"/>
        <v>-6.6500000000000048</v>
      </c>
      <c r="N51" s="22" cm="1">
        <f t="array" ref="N51">_xlfn.PERCENTILE.INC(($N$16/1000000)*$I$3:$I$523+M51*$J$3:$J$523,0.99)</f>
        <v>33453.633682152722</v>
      </c>
    </row>
    <row r="52" spans="1:14" x14ac:dyDescent="0.2">
      <c r="A52" s="19">
        <v>45636</v>
      </c>
      <c r="B52" s="15">
        <v>4.1449999999999996</v>
      </c>
      <c r="C52" s="15">
        <v>4.2270000000000003</v>
      </c>
      <c r="D52" s="16">
        <v>1.899999999999924</v>
      </c>
      <c r="E52" s="16">
        <v>2.5000000000000355</v>
      </c>
      <c r="F52" s="16">
        <f t="shared" si="0"/>
        <v>0</v>
      </c>
      <c r="G52" s="16">
        <f t="shared" si="1"/>
        <v>0</v>
      </c>
      <c r="H52" s="16">
        <f t="shared" si="2"/>
        <v>0</v>
      </c>
      <c r="I52" s="22">
        <f t="shared" si="3"/>
        <v>356.73897715998567</v>
      </c>
      <c r="J52" s="22">
        <f t="shared" si="4"/>
        <v>1843.3413062500258</v>
      </c>
      <c r="K52" s="22">
        <f t="shared" si="5"/>
        <v>12385.346997830999</v>
      </c>
      <c r="M52" s="22">
        <f t="shared" si="6"/>
        <v>-6.600000000000005</v>
      </c>
      <c r="N52" s="22" cm="1">
        <f t="array" ref="N52">_xlfn.PERCENTILE.INC(($N$16/1000000)*$I$3:$I$523+M52*$J$3:$J$523,0.99)</f>
        <v>33078.309277891109</v>
      </c>
    </row>
    <row r="53" spans="1:14" x14ac:dyDescent="0.2">
      <c r="A53" s="19">
        <v>45637</v>
      </c>
      <c r="B53" s="15">
        <v>4.1539999999999999</v>
      </c>
      <c r="C53" s="15">
        <v>4.2720000000000002</v>
      </c>
      <c r="D53" s="16">
        <v>0.90000000000003411</v>
      </c>
      <c r="E53" s="16">
        <v>4.4999999999999929</v>
      </c>
      <c r="F53" s="16">
        <f t="shared" si="0"/>
        <v>0</v>
      </c>
      <c r="G53" s="16">
        <f t="shared" si="1"/>
        <v>0</v>
      </c>
      <c r="H53" s="16">
        <f t="shared" si="2"/>
        <v>0</v>
      </c>
      <c r="I53" s="22">
        <f t="shared" si="3"/>
        <v>169.00182036000641</v>
      </c>
      <c r="J53" s="22">
        <f t="shared" si="4"/>
        <v>3314.9058322499941</v>
      </c>
      <c r="K53" s="22">
        <f t="shared" si="5"/>
        <v>15184.837288396888</v>
      </c>
      <c r="M53" s="22">
        <f t="shared" si="6"/>
        <v>-6.5500000000000052</v>
      </c>
      <c r="N53" s="22" cm="1">
        <f t="array" ref="N53">_xlfn.PERCENTILE.INC(($N$16/1000000)*$I$3:$I$523+M53*$J$3:$J$523,0.99)</f>
        <v>32702.98487362951</v>
      </c>
    </row>
    <row r="54" spans="1:14" x14ac:dyDescent="0.2">
      <c r="A54" s="19">
        <v>45638</v>
      </c>
      <c r="B54" s="15">
        <v>4.1929999999999996</v>
      </c>
      <c r="C54" s="15">
        <v>4.3289999999999997</v>
      </c>
      <c r="D54" s="16">
        <v>3.8999999999999702</v>
      </c>
      <c r="E54" s="16">
        <v>5.6999999999999496</v>
      </c>
      <c r="F54" s="16">
        <f t="shared" si="0"/>
        <v>0</v>
      </c>
      <c r="G54" s="16">
        <f t="shared" si="1"/>
        <v>1</v>
      </c>
      <c r="H54" s="16">
        <f t="shared" si="2"/>
        <v>0</v>
      </c>
      <c r="I54" s="22">
        <f t="shared" si="3"/>
        <v>732.07862675999434</v>
      </c>
      <c r="J54" s="22">
        <f t="shared" si="4"/>
        <v>4196.5182464099626</v>
      </c>
      <c r="K54" s="22">
        <f t="shared" si="5"/>
        <v>26995.256751896886</v>
      </c>
      <c r="M54" s="22">
        <f t="shared" si="6"/>
        <v>-6.5000000000000053</v>
      </c>
      <c r="N54" s="22" cm="1">
        <f t="array" ref="N54">_xlfn.PERCENTILE.INC(($N$16/1000000)*$I$3:$I$523+M54*$J$3:$J$523,0.99)</f>
        <v>32335.821318622915</v>
      </c>
    </row>
    <row r="55" spans="1:14" x14ac:dyDescent="0.2">
      <c r="A55" s="19">
        <v>45639</v>
      </c>
      <c r="B55" s="15">
        <v>4.2469999999999999</v>
      </c>
      <c r="C55" s="15">
        <v>4.3979999999999997</v>
      </c>
      <c r="D55" s="16">
        <v>5.400000000000027</v>
      </c>
      <c r="E55" s="16">
        <v>6.899999999999995</v>
      </c>
      <c r="F55" s="16">
        <f t="shared" si="0"/>
        <v>1</v>
      </c>
      <c r="G55" s="16">
        <f t="shared" si="1"/>
        <v>1</v>
      </c>
      <c r="H55" s="16">
        <f t="shared" si="2"/>
        <v>1</v>
      </c>
      <c r="I55" s="22">
        <f t="shared" si="3"/>
        <v>1013.4655329600049</v>
      </c>
      <c r="J55" s="22">
        <f t="shared" si="4"/>
        <v>5077.1359344899956</v>
      </c>
      <c r="K55" s="22">
        <f t="shared" si="5"/>
        <v>34576.531798868127</v>
      </c>
      <c r="M55" s="22">
        <f t="shared" si="6"/>
        <v>-6.4500000000000055</v>
      </c>
      <c r="N55" s="22" cm="1">
        <f t="array" ref="N55">_xlfn.PERCENTILE.INC(($N$16/1000000)*$I$3:$I$523+M55*$J$3:$J$523,0.99)</f>
        <v>32084.266596885838</v>
      </c>
    </row>
    <row r="56" spans="1:14" x14ac:dyDescent="0.2">
      <c r="A56" s="19">
        <v>45642</v>
      </c>
      <c r="B56" s="15">
        <v>4.2510000000000003</v>
      </c>
      <c r="C56" s="15">
        <v>4.399</v>
      </c>
      <c r="D56" s="16">
        <v>0.40000000000004476</v>
      </c>
      <c r="E56" s="16">
        <v>0.1000000000000334</v>
      </c>
      <c r="F56" s="16">
        <f t="shared" si="0"/>
        <v>0</v>
      </c>
      <c r="G56" s="16">
        <f t="shared" si="1"/>
        <v>0</v>
      </c>
      <c r="H56" s="16">
        <f t="shared" si="2"/>
        <v>0</v>
      </c>
      <c r="I56" s="22">
        <f t="shared" si="3"/>
        <v>75.1164089600084</v>
      </c>
      <c r="J56" s="22">
        <f t="shared" si="4"/>
        <v>73.816546090024659</v>
      </c>
      <c r="K56" s="22">
        <f t="shared" si="5"/>
        <v>1408.4329541449099</v>
      </c>
      <c r="M56" s="22">
        <f t="shared" si="6"/>
        <v>-6.4000000000000057</v>
      </c>
      <c r="N56" s="22" cm="1">
        <f t="array" ref="N56">_xlfn.PERCENTILE.INC(($N$16/1000000)*$I$3:$I$523+M56*$J$3:$J$523,0.99)</f>
        <v>31821.371888754995</v>
      </c>
    </row>
    <row r="57" spans="1:14" x14ac:dyDescent="0.2">
      <c r="A57" s="19">
        <v>45643</v>
      </c>
      <c r="B57" s="15">
        <v>4.2469999999999999</v>
      </c>
      <c r="C57" s="15">
        <v>4.4000000000000004</v>
      </c>
      <c r="D57" s="16">
        <v>-0.40000000000004476</v>
      </c>
      <c r="E57" s="16">
        <v>0.1000000000000334</v>
      </c>
      <c r="F57" s="16">
        <f t="shared" si="0"/>
        <v>0</v>
      </c>
      <c r="G57" s="16">
        <f t="shared" si="1"/>
        <v>0</v>
      </c>
      <c r="H57" s="16">
        <f t="shared" si="2"/>
        <v>0</v>
      </c>
      <c r="I57" s="22">
        <f t="shared" si="3"/>
        <v>-75.123591040008392</v>
      </c>
      <c r="J57" s="22">
        <f t="shared" si="4"/>
        <v>73.816546090024659</v>
      </c>
      <c r="K57" s="22">
        <f t="shared" si="5"/>
        <v>-845.16704585534194</v>
      </c>
      <c r="M57" s="22">
        <f t="shared" si="6"/>
        <v>-6.3500000000000059</v>
      </c>
      <c r="N57" s="22" cm="1">
        <f t="array" ref="N57">_xlfn.PERCENTILE.INC(($N$16/1000000)*$I$3:$I$523+M57*$J$3:$J$523,0.99)</f>
        <v>31469.753821872466</v>
      </c>
    </row>
    <row r="58" spans="1:14" x14ac:dyDescent="0.2">
      <c r="A58" s="19">
        <v>45644</v>
      </c>
      <c r="B58" s="15">
        <v>4.3579999999999997</v>
      </c>
      <c r="C58" s="15">
        <v>4.516</v>
      </c>
      <c r="D58" s="16">
        <v>11.099999999999977</v>
      </c>
      <c r="E58" s="16">
        <v>11.599999999999966</v>
      </c>
      <c r="F58" s="16">
        <f t="shared" si="0"/>
        <v>1</v>
      </c>
      <c r="G58" s="16">
        <f t="shared" si="1"/>
        <v>1</v>
      </c>
      <c r="H58" s="16">
        <f t="shared" si="2"/>
        <v>1</v>
      </c>
      <c r="I58" s="22">
        <f t="shared" si="3"/>
        <v>2081.8146747599953</v>
      </c>
      <c r="J58" s="22">
        <f t="shared" si="4"/>
        <v>8516.6441870399758</v>
      </c>
      <c r="K58" s="22">
        <f t="shared" si="5"/>
        <v>63727.066605945598</v>
      </c>
      <c r="M58" s="22">
        <f t="shared" si="6"/>
        <v>-6.300000000000006</v>
      </c>
      <c r="N58" s="22" cm="1">
        <f t="array" ref="N58">_xlfn.PERCENTILE.INC(($N$16/1000000)*$I$3:$I$523+M58*$J$3:$J$523,0.99)</f>
        <v>31110.099166784967</v>
      </c>
    </row>
    <row r="59" spans="1:14" x14ac:dyDescent="0.2">
      <c r="A59" s="19">
        <v>45645</v>
      </c>
      <c r="B59" s="15">
        <v>4.319</v>
      </c>
      <c r="C59" s="15">
        <v>4.5640000000000001</v>
      </c>
      <c r="D59" s="16">
        <v>-3.8999999999999702</v>
      </c>
      <c r="E59" s="16">
        <v>4.8000000000000043</v>
      </c>
      <c r="F59" s="16">
        <f t="shared" si="0"/>
        <v>0</v>
      </c>
      <c r="G59" s="16">
        <f t="shared" si="1"/>
        <v>0</v>
      </c>
      <c r="H59" s="16">
        <f t="shared" si="2"/>
        <v>0</v>
      </c>
      <c r="I59" s="22">
        <f t="shared" si="3"/>
        <v>-732.76137323999433</v>
      </c>
      <c r="J59" s="22">
        <f t="shared" si="4"/>
        <v>3535.4021913600027</v>
      </c>
      <c r="K59" s="22">
        <f t="shared" si="5"/>
        <v>2499.8120931653611</v>
      </c>
      <c r="M59" s="22">
        <f t="shared" si="6"/>
        <v>-6.2500000000000062</v>
      </c>
      <c r="N59" s="22" cm="1">
        <f t="array" ref="N59">_xlfn.PERCENTILE.INC(($N$16/1000000)*$I$3:$I$523+M59*$J$3:$J$523,0.99)</f>
        <v>30750.444511697464</v>
      </c>
    </row>
    <row r="60" spans="1:14" x14ac:dyDescent="0.2">
      <c r="A60" s="19">
        <v>45646</v>
      </c>
      <c r="B60" s="15">
        <v>4.3120000000000003</v>
      </c>
      <c r="C60" s="15">
        <v>4.5229999999999997</v>
      </c>
      <c r="D60" s="16">
        <v>-0.69999999999996732</v>
      </c>
      <c r="E60" s="16">
        <v>-4.1000000000000369</v>
      </c>
      <c r="F60" s="16">
        <f t="shared" si="0"/>
        <v>0</v>
      </c>
      <c r="G60" s="16">
        <f t="shared" si="1"/>
        <v>0</v>
      </c>
      <c r="H60" s="16">
        <f t="shared" si="2"/>
        <v>0</v>
      </c>
      <c r="I60" s="22">
        <f t="shared" si="3"/>
        <v>-131.47099755999386</v>
      </c>
      <c r="J60" s="22">
        <f t="shared" si="4"/>
        <v>-3032.4260227100267</v>
      </c>
      <c r="K60" s="22">
        <f t="shared" si="5"/>
        <v>-13543.920972576478</v>
      </c>
      <c r="M60" s="22">
        <f t="shared" si="6"/>
        <v>-6.2000000000000064</v>
      </c>
      <c r="N60" s="22" cm="1">
        <f t="array" ref="N60">_xlfn.PERCENTILE.INC(($N$16/1000000)*$I$3:$I$523+M60*$J$3:$J$523,0.99)</f>
        <v>30390.789856609972</v>
      </c>
    </row>
    <row r="61" spans="1:14" x14ac:dyDescent="0.2">
      <c r="A61" s="19">
        <v>45649</v>
      </c>
      <c r="B61" s="15">
        <v>4.3419999999999996</v>
      </c>
      <c r="C61" s="15">
        <v>4.5880000000000001</v>
      </c>
      <c r="D61" s="16">
        <v>2.9999999999999361</v>
      </c>
      <c r="E61" s="16">
        <v>6.5000000000000391</v>
      </c>
      <c r="F61" s="16">
        <f t="shared" si="0"/>
        <v>0</v>
      </c>
      <c r="G61" s="16">
        <f t="shared" si="1"/>
        <v>1</v>
      </c>
      <c r="H61" s="16">
        <f t="shared" si="2"/>
        <v>0</v>
      </c>
      <c r="I61" s="22">
        <f t="shared" si="3"/>
        <v>563.19800399998792</v>
      </c>
      <c r="J61" s="22">
        <f t="shared" si="4"/>
        <v>4783.7072302500283</v>
      </c>
      <c r="K61" s="22">
        <f t="shared" si="5"/>
        <v>26702.783481314269</v>
      </c>
      <c r="M61" s="22">
        <f t="shared" si="6"/>
        <v>-6.1500000000000066</v>
      </c>
      <c r="N61" s="22" cm="1">
        <f t="array" ref="N61">_xlfn.PERCENTILE.INC(($N$16/1000000)*$I$3:$I$523+M61*$J$3:$J$523,0.99)</f>
        <v>30031.135201522473</v>
      </c>
    </row>
    <row r="62" spans="1:14" x14ac:dyDescent="0.2">
      <c r="A62" s="19">
        <v>45650</v>
      </c>
      <c r="B62" s="15">
        <v>4.335</v>
      </c>
      <c r="C62" s="15">
        <v>4.59</v>
      </c>
      <c r="D62" s="16">
        <v>-0.69999999999996732</v>
      </c>
      <c r="E62" s="16">
        <v>0.19999999999997797</v>
      </c>
      <c r="F62" s="16">
        <f t="shared" si="0"/>
        <v>0</v>
      </c>
      <c r="G62" s="16">
        <f t="shared" si="1"/>
        <v>0</v>
      </c>
      <c r="H62" s="16">
        <f t="shared" si="2"/>
        <v>0</v>
      </c>
      <c r="I62" s="22">
        <f t="shared" si="3"/>
        <v>-131.47099755999386</v>
      </c>
      <c r="J62" s="22">
        <f t="shared" si="4"/>
        <v>147.62618435998374</v>
      </c>
      <c r="K62" s="22">
        <f t="shared" si="5"/>
        <v>-1408.7176844212108</v>
      </c>
      <c r="M62" s="22">
        <f t="shared" si="6"/>
        <v>-6.1000000000000068</v>
      </c>
      <c r="N62" s="22" cm="1">
        <f t="array" ref="N62">_xlfn.PERCENTILE.INC(($N$16/1000000)*$I$3:$I$523+M62*$J$3:$J$523,0.99)</f>
        <v>29671.48054643497</v>
      </c>
    </row>
    <row r="63" spans="1:14" x14ac:dyDescent="0.2">
      <c r="A63" s="19">
        <v>45651</v>
      </c>
      <c r="B63" s="15">
        <v>4.335</v>
      </c>
      <c r="C63" s="15">
        <v>4.59</v>
      </c>
      <c r="D63" s="16">
        <v>0</v>
      </c>
      <c r="E63" s="16">
        <v>0</v>
      </c>
      <c r="F63" s="16">
        <f t="shared" si="0"/>
        <v>0</v>
      </c>
      <c r="G63" s="16">
        <f t="shared" si="1"/>
        <v>0</v>
      </c>
      <c r="H63" s="16">
        <f t="shared" si="2"/>
        <v>0</v>
      </c>
      <c r="I63" s="22">
        <f t="shared" si="3"/>
        <v>0</v>
      </c>
      <c r="J63" s="22">
        <f t="shared" si="4"/>
        <v>0</v>
      </c>
      <c r="K63" s="22">
        <f t="shared" si="5"/>
        <v>0</v>
      </c>
      <c r="M63" s="22">
        <f t="shared" si="6"/>
        <v>-6.0500000000000069</v>
      </c>
      <c r="N63" s="22" cm="1">
        <f t="array" ref="N63">_xlfn.PERCENTILE.INC(($N$16/1000000)*$I$3:$I$523+M63*$J$3:$J$523,0.99)</f>
        <v>29311.825891347471</v>
      </c>
    </row>
    <row r="64" spans="1:14" x14ac:dyDescent="0.2">
      <c r="A64" s="19">
        <v>45652</v>
      </c>
      <c r="B64" s="15">
        <v>4.33</v>
      </c>
      <c r="C64" s="15">
        <v>4.5839999999999996</v>
      </c>
      <c r="D64" s="16">
        <v>-0.49999999999998934</v>
      </c>
      <c r="E64" s="16">
        <v>-0.60000000000002274</v>
      </c>
      <c r="F64" s="16">
        <f t="shared" si="0"/>
        <v>0</v>
      </c>
      <c r="G64" s="16">
        <f t="shared" si="1"/>
        <v>0</v>
      </c>
      <c r="H64" s="16">
        <f t="shared" si="2"/>
        <v>0</v>
      </c>
      <c r="I64" s="22">
        <f t="shared" si="3"/>
        <v>-93.90561099999799</v>
      </c>
      <c r="J64" s="22">
        <f t="shared" si="4"/>
        <v>-443.04434076001678</v>
      </c>
      <c r="K64" s="22">
        <f t="shared" si="5"/>
        <v>-3099.2586541912015</v>
      </c>
      <c r="M64" s="22">
        <f t="shared" si="6"/>
        <v>-6.0000000000000071</v>
      </c>
      <c r="N64" s="22" cm="1">
        <f t="array" ref="N64">_xlfn.PERCENTILE.INC(($N$16/1000000)*$I$3:$I$523+M64*$J$3:$J$523,0.99)</f>
        <v>28952.171236259968</v>
      </c>
    </row>
    <row r="65" spans="1:14" x14ac:dyDescent="0.2">
      <c r="A65" s="19">
        <v>45653</v>
      </c>
      <c r="B65" s="15">
        <v>4.3289999999999997</v>
      </c>
      <c r="C65" s="15">
        <v>4.6260000000000003</v>
      </c>
      <c r="D65" s="16">
        <v>-0.1000000000000334</v>
      </c>
      <c r="E65" s="16">
        <v>4.2000000000000703</v>
      </c>
      <c r="F65" s="16">
        <f t="shared" si="0"/>
        <v>0</v>
      </c>
      <c r="G65" s="16">
        <f t="shared" si="1"/>
        <v>0</v>
      </c>
      <c r="H65" s="16">
        <f t="shared" si="2"/>
        <v>0</v>
      </c>
      <c r="I65" s="22">
        <f t="shared" si="3"/>
        <v>-18.780224440006272</v>
      </c>
      <c r="J65" s="22">
        <f t="shared" si="4"/>
        <v>3094.3473027600521</v>
      </c>
      <c r="K65" s="22">
        <f t="shared" si="5"/>
        <v>11526.446663032888</v>
      </c>
      <c r="M65" s="22">
        <f t="shared" si="6"/>
        <v>-5.9500000000000073</v>
      </c>
      <c r="N65" s="22" cm="1">
        <f t="array" ref="N65">_xlfn.PERCENTILE.INC(($N$16/1000000)*$I$3:$I$523+M65*$J$3:$J$523,0.99)</f>
        <v>28592.516581172473</v>
      </c>
    </row>
    <row r="66" spans="1:14" x14ac:dyDescent="0.2">
      <c r="A66" s="19">
        <v>45656</v>
      </c>
      <c r="B66" s="15">
        <v>4.2439999999999998</v>
      </c>
      <c r="C66" s="15">
        <v>4.5339999999999998</v>
      </c>
      <c r="D66" s="16">
        <v>-8.4999999999999964</v>
      </c>
      <c r="E66" s="16">
        <v>-9.2000000000000526</v>
      </c>
      <c r="F66" s="16">
        <f t="shared" si="0"/>
        <v>1</v>
      </c>
      <c r="G66" s="16">
        <f t="shared" si="1"/>
        <v>1</v>
      </c>
      <c r="H66" s="16">
        <f t="shared" si="2"/>
        <v>1</v>
      </c>
      <c r="I66" s="22">
        <f t="shared" si="3"/>
        <v>-1597.9215789999989</v>
      </c>
      <c r="J66" s="22">
        <f t="shared" si="4"/>
        <v>-6820.6738942400389</v>
      </c>
      <c r="K66" s="22">
        <f t="shared" si="5"/>
        <v>-49996.781365945782</v>
      </c>
      <c r="M66" s="22">
        <f t="shared" si="6"/>
        <v>-5.9000000000000075</v>
      </c>
      <c r="N66" s="22" cm="1">
        <f t="array" ref="N66">_xlfn.PERCENTILE.INC(($N$16/1000000)*$I$3:$I$523+M66*$J$3:$J$523,0.99)</f>
        <v>28232.861926084974</v>
      </c>
    </row>
    <row r="67" spans="1:14" x14ac:dyDescent="0.2">
      <c r="A67" s="19">
        <v>45657</v>
      </c>
      <c r="B67" s="15">
        <v>4.2430000000000003</v>
      </c>
      <c r="C67" s="15">
        <v>4.5720000000000001</v>
      </c>
      <c r="D67" s="16">
        <v>-9.9999999999944578E-2</v>
      </c>
      <c r="E67" s="16">
        <v>3.8000000000000256</v>
      </c>
      <c r="F67" s="16">
        <f t="shared" si="0"/>
        <v>0</v>
      </c>
      <c r="G67" s="16">
        <f t="shared" si="1"/>
        <v>0</v>
      </c>
      <c r="H67" s="16">
        <f t="shared" si="2"/>
        <v>0</v>
      </c>
      <c r="I67" s="22">
        <f t="shared" si="3"/>
        <v>-18.780224439989588</v>
      </c>
      <c r="J67" s="22">
        <f t="shared" si="4"/>
        <v>2800.1725539600188</v>
      </c>
      <c r="K67" s="22">
        <f t="shared" si="5"/>
        <v>10403.864344732277</v>
      </c>
      <c r="M67" s="22">
        <f t="shared" si="6"/>
        <v>-5.8500000000000076</v>
      </c>
      <c r="N67" s="22" cm="1">
        <f t="array" ref="N67">_xlfn.PERCENTILE.INC(($N$16/1000000)*$I$3:$I$523+M67*$J$3:$J$523,0.99)</f>
        <v>27873.207270997475</v>
      </c>
    </row>
    <row r="68" spans="1:14" x14ac:dyDescent="0.2">
      <c r="A68" s="19">
        <v>45658</v>
      </c>
      <c r="B68" s="15">
        <v>4.2430000000000003</v>
      </c>
      <c r="C68" s="15">
        <v>4.5720000000000001</v>
      </c>
      <c r="D68" s="16">
        <v>0</v>
      </c>
      <c r="E68" s="16">
        <v>0</v>
      </c>
      <c r="F68" s="16">
        <f t="shared" ref="F68:F131" si="7">IF(ABS(D68-$N$2)&gt;$N$3,1,0)</f>
        <v>0</v>
      </c>
      <c r="G68" s="16">
        <f t="shared" ref="G68:G131" si="8">IF(ABS(E68-$O$2)&gt;$O$3,1,0)</f>
        <v>0</v>
      </c>
      <c r="H68" s="16">
        <f t="shared" ref="H68:H131" si="9">IF(AND(F68=1,G68=1),1,0)</f>
        <v>0</v>
      </c>
      <c r="I68" s="22">
        <f t="shared" ref="I68:I131" si="10">(1000000/100)*($N$11*D68/100-0.5*$N$19*(D68/100)^2)</f>
        <v>0</v>
      </c>
      <c r="J68" s="22">
        <f t="shared" ref="J68:J131" si="11">(1000000/100)*($O$11*E68/100-0.5*$O$19*(E68/100)^2)</f>
        <v>0</v>
      </c>
      <c r="K68" s="22">
        <f t="shared" ref="K68:K131" si="12">($N$16/1000000)*I68+($O$16/1000000)*J68</f>
        <v>0</v>
      </c>
      <c r="M68" s="22">
        <f t="shared" si="6"/>
        <v>-5.8000000000000078</v>
      </c>
      <c r="N68" s="22" cm="1">
        <f t="array" ref="N68">_xlfn.PERCENTILE.INC(($N$16/1000000)*$I$3:$I$523+M68*$J$3:$J$523,0.99)</f>
        <v>27513.552615909972</v>
      </c>
    </row>
    <row r="69" spans="1:14" x14ac:dyDescent="0.2">
      <c r="A69" s="19">
        <v>45659</v>
      </c>
      <c r="B69" s="15">
        <v>4.242</v>
      </c>
      <c r="C69" s="15">
        <v>4.5599999999999996</v>
      </c>
      <c r="D69" s="16">
        <v>-0.1000000000000334</v>
      </c>
      <c r="E69" s="16">
        <v>-1.2000000000000455</v>
      </c>
      <c r="F69" s="16">
        <f t="shared" si="7"/>
        <v>0</v>
      </c>
      <c r="G69" s="16">
        <f t="shared" si="8"/>
        <v>0</v>
      </c>
      <c r="H69" s="16">
        <f t="shared" si="9"/>
        <v>0</v>
      </c>
      <c r="I69" s="22">
        <f t="shared" si="10"/>
        <v>-18.780224440006272</v>
      </c>
      <c r="J69" s="22">
        <f t="shared" si="11"/>
        <v>-886.33736304003355</v>
      </c>
      <c r="K69" s="22">
        <f t="shared" si="12"/>
        <v>-3664.0013233648924</v>
      </c>
      <c r="M69" s="22">
        <f t="shared" si="6"/>
        <v>-5.750000000000008</v>
      </c>
      <c r="N69" s="22" cm="1">
        <f t="array" ref="N69">_xlfn.PERCENTILE.INC(($N$16/1000000)*$I$3:$I$523+M69*$J$3:$J$523,0.99)</f>
        <v>27153.897960822473</v>
      </c>
    </row>
    <row r="70" spans="1:14" x14ac:dyDescent="0.2">
      <c r="A70" s="19">
        <v>45660</v>
      </c>
      <c r="B70" s="15">
        <v>4.2809999999999997</v>
      </c>
      <c r="C70" s="15">
        <v>4.5990000000000002</v>
      </c>
      <c r="D70" s="16">
        <v>3.8999999999999702</v>
      </c>
      <c r="E70" s="16">
        <v>3.900000000000059</v>
      </c>
      <c r="F70" s="16">
        <f t="shared" si="7"/>
        <v>0</v>
      </c>
      <c r="G70" s="16">
        <f t="shared" si="8"/>
        <v>0</v>
      </c>
      <c r="H70" s="16">
        <f t="shared" si="9"/>
        <v>0</v>
      </c>
      <c r="I70" s="22">
        <f t="shared" si="10"/>
        <v>732.07862675999434</v>
      </c>
      <c r="J70" s="22">
        <f t="shared" si="11"/>
        <v>2873.7266028900431</v>
      </c>
      <c r="K70" s="22">
        <f t="shared" si="12"/>
        <v>21947.432233073243</v>
      </c>
      <c r="M70" s="22">
        <f t="shared" si="6"/>
        <v>-5.7000000000000082</v>
      </c>
      <c r="N70" s="22" cm="1">
        <f t="array" ref="N70">_xlfn.PERCENTILE.INC(($N$16/1000000)*$I$3:$I$523+M70*$J$3:$J$523,0.99)</f>
        <v>26794.243305734977</v>
      </c>
    </row>
    <row r="71" spans="1:14" x14ac:dyDescent="0.2">
      <c r="A71" s="19">
        <v>45663</v>
      </c>
      <c r="B71" s="15">
        <v>4.2770000000000001</v>
      </c>
      <c r="C71" s="15">
        <v>4.6310000000000002</v>
      </c>
      <c r="D71" s="16">
        <v>-0.39999999999995595</v>
      </c>
      <c r="E71" s="16">
        <v>3.2000000000000028</v>
      </c>
      <c r="F71" s="16">
        <f t="shared" si="7"/>
        <v>0</v>
      </c>
      <c r="G71" s="16">
        <f t="shared" si="8"/>
        <v>0</v>
      </c>
      <c r="H71" s="16">
        <f t="shared" si="9"/>
        <v>0</v>
      </c>
      <c r="I71" s="22">
        <f t="shared" si="10"/>
        <v>-75.123591039991723</v>
      </c>
      <c r="J71" s="22">
        <f t="shared" si="11"/>
        <v>2358.7031961600023</v>
      </c>
      <c r="K71" s="22">
        <f t="shared" si="12"/>
        <v>7874.0495529624732</v>
      </c>
      <c r="M71" s="22">
        <f t="shared" si="6"/>
        <v>-5.6500000000000083</v>
      </c>
      <c r="N71" s="22" cm="1">
        <f t="array" ref="N71">_xlfn.PERCENTILE.INC(($N$16/1000000)*$I$3:$I$523+M71*$J$3:$J$523,0.99)</f>
        <v>26434.588650647474</v>
      </c>
    </row>
    <row r="72" spans="1:14" x14ac:dyDescent="0.2">
      <c r="A72" s="19">
        <v>45664</v>
      </c>
      <c r="B72" s="15">
        <v>4.2930000000000001</v>
      </c>
      <c r="C72" s="15">
        <v>4.6859999999999999</v>
      </c>
      <c r="D72" s="16">
        <v>1.6000000000000014</v>
      </c>
      <c r="E72" s="16">
        <v>5.4999999999999716</v>
      </c>
      <c r="F72" s="16">
        <f t="shared" si="7"/>
        <v>0</v>
      </c>
      <c r="G72" s="16">
        <f t="shared" si="8"/>
        <v>1</v>
      </c>
      <c r="H72" s="16">
        <f t="shared" si="9"/>
        <v>0</v>
      </c>
      <c r="I72" s="22">
        <f t="shared" si="10"/>
        <v>300.42254336000025</v>
      </c>
      <c r="J72" s="22">
        <f t="shared" si="11"/>
        <v>4049.6519222499787</v>
      </c>
      <c r="K72" s="22">
        <f t="shared" si="12"/>
        <v>19959.967878086525</v>
      </c>
      <c r="M72" s="22">
        <f t="shared" si="6"/>
        <v>-5.6000000000000085</v>
      </c>
      <c r="N72" s="22" cm="1">
        <f t="array" ref="N72">_xlfn.PERCENTILE.INC(($N$16/1000000)*$I$3:$I$523+M72*$J$3:$J$523,0.99)</f>
        <v>26074.933995559975</v>
      </c>
    </row>
    <row r="73" spans="1:14" x14ac:dyDescent="0.2">
      <c r="A73" s="19">
        <v>45665</v>
      </c>
      <c r="B73" s="15">
        <v>4.2850000000000001</v>
      </c>
      <c r="C73" s="15">
        <v>4.6909999999999998</v>
      </c>
      <c r="D73" s="16">
        <v>-0.80000000000000071</v>
      </c>
      <c r="E73" s="16">
        <v>0.49999999999998934</v>
      </c>
      <c r="F73" s="16">
        <f t="shared" si="7"/>
        <v>0</v>
      </c>
      <c r="G73" s="16">
        <f t="shared" si="8"/>
        <v>0</v>
      </c>
      <c r="H73" s="16">
        <f t="shared" si="9"/>
        <v>0</v>
      </c>
      <c r="I73" s="22">
        <f t="shared" si="10"/>
        <v>-150.25436416000014</v>
      </c>
      <c r="J73" s="22">
        <f t="shared" si="11"/>
        <v>369.01365224999211</v>
      </c>
      <c r="K73" s="22">
        <f t="shared" si="12"/>
        <v>-845.64496878278783</v>
      </c>
      <c r="M73" s="22">
        <f t="shared" si="6"/>
        <v>-5.5500000000000087</v>
      </c>
      <c r="N73" s="22" cm="1">
        <f t="array" ref="N73">_xlfn.PERCENTILE.INC(($N$16/1000000)*$I$3:$I$523+M73*$J$3:$J$523,0.99)</f>
        <v>25715.279340472476</v>
      </c>
    </row>
    <row r="74" spans="1:14" x14ac:dyDescent="0.2">
      <c r="A74" s="19">
        <v>45666</v>
      </c>
      <c r="B74" s="15">
        <v>4.2649999999999997</v>
      </c>
      <c r="C74" s="15">
        <v>4.6900000000000004</v>
      </c>
      <c r="D74" s="16">
        <v>-2.0000000000000462</v>
      </c>
      <c r="E74" s="16">
        <v>-9.9999999999944578E-2</v>
      </c>
      <c r="F74" s="16">
        <f t="shared" si="7"/>
        <v>0</v>
      </c>
      <c r="G74" s="16">
        <f t="shared" si="8"/>
        <v>0</v>
      </c>
      <c r="H74" s="16">
        <f t="shared" si="9"/>
        <v>0</v>
      </c>
      <c r="I74" s="22">
        <f t="shared" si="10"/>
        <v>-375.68977600000864</v>
      </c>
      <c r="J74" s="22">
        <f t="shared" si="11"/>
        <v>-73.823453909959071</v>
      </c>
      <c r="K74" s="22">
        <f t="shared" si="12"/>
        <v>-5917.0598202552837</v>
      </c>
      <c r="M74" s="22">
        <f t="shared" si="6"/>
        <v>-5.5000000000000089</v>
      </c>
      <c r="N74" s="22" cm="1">
        <f t="array" ref="N74">_xlfn.PERCENTILE.INC(($N$16/1000000)*$I$3:$I$523+M74*$J$3:$J$523,0.99)</f>
        <v>25362.364347809038</v>
      </c>
    </row>
    <row r="75" spans="1:14" x14ac:dyDescent="0.2">
      <c r="A75" s="19">
        <v>45667</v>
      </c>
      <c r="B75" s="15">
        <v>4.3810000000000002</v>
      </c>
      <c r="C75" s="15">
        <v>4.76</v>
      </c>
      <c r="D75" s="16">
        <v>11.600000000000055</v>
      </c>
      <c r="E75" s="16">
        <v>6.9999999999999396</v>
      </c>
      <c r="F75" s="16">
        <f t="shared" si="7"/>
        <v>1</v>
      </c>
      <c r="G75" s="16">
        <f t="shared" si="8"/>
        <v>1</v>
      </c>
      <c r="H75" s="16">
        <f t="shared" si="9"/>
        <v>1</v>
      </c>
      <c r="I75" s="22">
        <f t="shared" si="10"/>
        <v>2175.4599353600101</v>
      </c>
      <c r="J75" s="22">
        <f t="shared" si="11"/>
        <v>5150.4758409999549</v>
      </c>
      <c r="K75" s="22">
        <f t="shared" si="12"/>
        <v>52286.315779379933</v>
      </c>
      <c r="M75" s="22">
        <f t="shared" si="6"/>
        <v>-5.4500000000000091</v>
      </c>
      <c r="N75" s="22" cm="1">
        <f t="array" ref="N75">_xlfn.PERCENTILE.INC(($N$16/1000000)*$I$3:$I$523+M75*$J$3:$J$523,0.99)</f>
        <v>25063.604615115157</v>
      </c>
    </row>
    <row r="76" spans="1:14" x14ac:dyDescent="0.2">
      <c r="A76" s="19">
        <v>45670</v>
      </c>
      <c r="B76" s="15">
        <v>4.3810000000000002</v>
      </c>
      <c r="C76" s="15">
        <v>4.78</v>
      </c>
      <c r="D76" s="16">
        <v>0</v>
      </c>
      <c r="E76" s="16">
        <v>2.0000000000000462</v>
      </c>
      <c r="F76" s="16">
        <f t="shared" si="7"/>
        <v>0</v>
      </c>
      <c r="G76" s="16">
        <f t="shared" si="8"/>
        <v>0</v>
      </c>
      <c r="H76" s="16">
        <f t="shared" si="9"/>
        <v>0</v>
      </c>
      <c r="I76" s="22">
        <f t="shared" si="10"/>
        <v>0</v>
      </c>
      <c r="J76" s="22">
        <f t="shared" si="11"/>
        <v>1475.0184360000339</v>
      </c>
      <c r="K76" s="22">
        <f t="shared" si="12"/>
        <v>5628.7278978760432</v>
      </c>
      <c r="M76" s="22">
        <f t="shared" si="6"/>
        <v>-5.4000000000000092</v>
      </c>
      <c r="N76" s="22" cm="1">
        <f t="array" ref="N76">_xlfn.PERCENTILE.INC(($N$16/1000000)*$I$3:$I$523+M76*$J$3:$J$523,0.99)</f>
        <v>24764.844882421268</v>
      </c>
    </row>
    <row r="77" spans="1:14" x14ac:dyDescent="0.2">
      <c r="A77" s="19">
        <v>45671</v>
      </c>
      <c r="B77" s="15">
        <v>4.3680000000000003</v>
      </c>
      <c r="C77" s="15">
        <v>4.7930000000000001</v>
      </c>
      <c r="D77" s="16">
        <v>-1.2999999999999901</v>
      </c>
      <c r="E77" s="16">
        <v>1.2999999999999901</v>
      </c>
      <c r="F77" s="16">
        <f t="shared" si="7"/>
        <v>0</v>
      </c>
      <c r="G77" s="16">
        <f t="shared" si="8"/>
        <v>0</v>
      </c>
      <c r="H77" s="16">
        <f t="shared" si="9"/>
        <v>0</v>
      </c>
      <c r="I77" s="22">
        <f t="shared" si="10"/>
        <v>-244.1779303599981</v>
      </c>
      <c r="J77" s="22">
        <f t="shared" si="11"/>
        <v>959.07628920999252</v>
      </c>
      <c r="K77" s="22">
        <f t="shared" si="12"/>
        <v>-2.7964185474261285</v>
      </c>
      <c r="M77" s="22">
        <f t="shared" si="6"/>
        <v>-5.3500000000000094</v>
      </c>
      <c r="N77" s="22" cm="1">
        <f t="array" ref="N77">_xlfn.PERCENTILE.INC(($N$16/1000000)*$I$3:$I$523+M77*$J$3:$J$523,0.99)</f>
        <v>24549.002876221835</v>
      </c>
    </row>
    <row r="78" spans="1:14" x14ac:dyDescent="0.2">
      <c r="A78" s="19">
        <v>45672</v>
      </c>
      <c r="B78" s="15">
        <v>4.266</v>
      </c>
      <c r="C78" s="15">
        <v>4.6539999999999999</v>
      </c>
      <c r="D78" s="16">
        <v>-10.200000000000031</v>
      </c>
      <c r="E78" s="16">
        <v>-13.900000000000023</v>
      </c>
      <c r="F78" s="16">
        <f t="shared" si="7"/>
        <v>1</v>
      </c>
      <c r="G78" s="16">
        <f t="shared" si="8"/>
        <v>1</v>
      </c>
      <c r="H78" s="16">
        <f t="shared" si="9"/>
        <v>1</v>
      </c>
      <c r="I78" s="22">
        <f t="shared" si="10"/>
        <v>-1917.8950737600055</v>
      </c>
      <c r="J78" s="22">
        <f t="shared" si="11"/>
        <v>-10327.712995110016</v>
      </c>
      <c r="K78" s="22">
        <f t="shared" si="12"/>
        <v>-68179.381819248782</v>
      </c>
      <c r="M78" s="22">
        <f t="shared" si="6"/>
        <v>-5.3000000000000096</v>
      </c>
      <c r="N78" s="22" cm="1">
        <f t="array" ref="N78">_xlfn.PERCENTILE.INC(($N$16/1000000)*$I$3:$I$523+M78*$J$3:$J$523,0.99)</f>
        <v>24410.574676108721</v>
      </c>
    </row>
    <row r="79" spans="1:14" x14ac:dyDescent="0.2">
      <c r="A79" s="19">
        <v>45673</v>
      </c>
      <c r="B79" s="15">
        <v>4.2309999999999999</v>
      </c>
      <c r="C79" s="15">
        <v>4.6139999999999999</v>
      </c>
      <c r="D79" s="16">
        <v>-3.5000000000000142</v>
      </c>
      <c r="E79" s="16">
        <v>-4.0000000000000036</v>
      </c>
      <c r="F79" s="16">
        <f t="shared" si="7"/>
        <v>0</v>
      </c>
      <c r="G79" s="16">
        <f t="shared" si="8"/>
        <v>0</v>
      </c>
      <c r="H79" s="16">
        <f t="shared" si="9"/>
        <v>0</v>
      </c>
      <c r="I79" s="22">
        <f t="shared" si="10"/>
        <v>-657.57493900000259</v>
      </c>
      <c r="J79" s="22">
        <f t="shared" si="11"/>
        <v>-2958.3262560000021</v>
      </c>
      <c r="K79" s="22">
        <f t="shared" si="12"/>
        <v>-21152.712493496387</v>
      </c>
      <c r="M79" s="22">
        <f t="shared" si="6"/>
        <v>-5.2500000000000098</v>
      </c>
      <c r="N79" s="22" cm="1">
        <f t="array" ref="N79">_xlfn.PERCENTILE.INC(($N$16/1000000)*$I$3:$I$523+M79*$J$3:$J$523,0.99)</f>
        <v>24272.146475995607</v>
      </c>
    </row>
    <row r="80" spans="1:14" x14ac:dyDescent="0.2">
      <c r="A80" s="19">
        <v>45674</v>
      </c>
      <c r="B80" s="15">
        <v>4.2850000000000001</v>
      </c>
      <c r="C80" s="15">
        <v>4.6280000000000001</v>
      </c>
      <c r="D80" s="16">
        <v>5.400000000000027</v>
      </c>
      <c r="E80" s="16">
        <v>1.4000000000000234</v>
      </c>
      <c r="F80" s="16">
        <f t="shared" si="7"/>
        <v>1</v>
      </c>
      <c r="G80" s="16">
        <f t="shared" si="8"/>
        <v>0</v>
      </c>
      <c r="H80" s="16">
        <f t="shared" si="9"/>
        <v>0</v>
      </c>
      <c r="I80" s="22">
        <f t="shared" si="10"/>
        <v>1013.4655329600049</v>
      </c>
      <c r="J80" s="22">
        <f t="shared" si="11"/>
        <v>1032.803033640017</v>
      </c>
      <c r="K80" s="22">
        <f t="shared" si="12"/>
        <v>19143.199664359337</v>
      </c>
      <c r="M80" s="22">
        <f t="shared" si="6"/>
        <v>-5.2000000000000099</v>
      </c>
      <c r="N80" s="22" cm="1">
        <f t="array" ref="N80">_xlfn.PERCENTILE.INC(($N$16/1000000)*$I$3:$I$523+M80*$J$3:$J$523,0.99)</f>
        <v>24133.718275882493</v>
      </c>
    </row>
    <row r="81" spans="1:14" x14ac:dyDescent="0.2">
      <c r="A81" s="19">
        <v>45677</v>
      </c>
      <c r="B81" s="15">
        <v>4.2850000000000001</v>
      </c>
      <c r="C81" s="15">
        <v>4.6280000000000001</v>
      </c>
      <c r="D81" s="16">
        <v>0</v>
      </c>
      <c r="E81" s="16">
        <v>0</v>
      </c>
      <c r="F81" s="16">
        <f t="shared" si="7"/>
        <v>0</v>
      </c>
      <c r="G81" s="16">
        <f t="shared" si="8"/>
        <v>0</v>
      </c>
      <c r="H81" s="16">
        <f t="shared" si="9"/>
        <v>0</v>
      </c>
      <c r="I81" s="22">
        <f t="shared" si="10"/>
        <v>0</v>
      </c>
      <c r="J81" s="22">
        <f t="shared" si="11"/>
        <v>0</v>
      </c>
      <c r="K81" s="22">
        <f t="shared" si="12"/>
        <v>0</v>
      </c>
      <c r="M81" s="22">
        <f t="shared" si="6"/>
        <v>-5.1500000000000101</v>
      </c>
      <c r="N81" s="22" cm="1">
        <f t="array" ref="N81">_xlfn.PERCENTILE.INC(($N$16/1000000)*$I$3:$I$523+M81*$J$3:$J$523,0.99)</f>
        <v>23995.290075769382</v>
      </c>
    </row>
    <row r="82" spans="1:14" x14ac:dyDescent="0.2">
      <c r="A82" s="19">
        <v>45678</v>
      </c>
      <c r="B82" s="15">
        <v>4.2750000000000004</v>
      </c>
      <c r="C82" s="15">
        <v>4.577</v>
      </c>
      <c r="D82" s="16">
        <v>-0.99999999999997868</v>
      </c>
      <c r="E82" s="16">
        <v>-5.1000000000000156</v>
      </c>
      <c r="F82" s="16">
        <f t="shared" si="7"/>
        <v>0</v>
      </c>
      <c r="G82" s="16">
        <f t="shared" si="8"/>
        <v>1</v>
      </c>
      <c r="H82" s="16">
        <f t="shared" si="9"/>
        <v>0</v>
      </c>
      <c r="I82" s="22">
        <f t="shared" si="10"/>
        <v>-187.82244399999598</v>
      </c>
      <c r="J82" s="22">
        <f t="shared" si="11"/>
        <v>-3773.8036199100115</v>
      </c>
      <c r="K82" s="22">
        <f t="shared" si="12"/>
        <v>-17218.318504061848</v>
      </c>
      <c r="M82" s="22">
        <f t="shared" si="6"/>
        <v>-5.1000000000000103</v>
      </c>
      <c r="N82" s="22" cm="1">
        <f t="array" ref="N82">_xlfn.PERCENTILE.INC(($N$16/1000000)*$I$3:$I$523+M82*$J$3:$J$523,0.99)</f>
        <v>23675.887090038661</v>
      </c>
    </row>
    <row r="83" spans="1:14" x14ac:dyDescent="0.2">
      <c r="A83" s="19">
        <v>45679</v>
      </c>
      <c r="B83" s="15">
        <v>4.3</v>
      </c>
      <c r="C83" s="15">
        <v>4.6120000000000001</v>
      </c>
      <c r="D83" s="16">
        <v>2.4999999999999467</v>
      </c>
      <c r="E83" s="16">
        <v>3.5000000000000142</v>
      </c>
      <c r="F83" s="16">
        <f t="shared" si="7"/>
        <v>0</v>
      </c>
      <c r="G83" s="16">
        <f t="shared" si="8"/>
        <v>0</v>
      </c>
      <c r="H83" s="16">
        <f t="shared" si="9"/>
        <v>0</v>
      </c>
      <c r="I83" s="22">
        <f t="shared" si="10"/>
        <v>469.35972499999002</v>
      </c>
      <c r="J83" s="22">
        <f t="shared" si="11"/>
        <v>2579.4689602500102</v>
      </c>
      <c r="K83" s="22">
        <f t="shared" si="12"/>
        <v>16883.750062244875</v>
      </c>
      <c r="M83" s="22">
        <f t="shared" si="6"/>
        <v>-5.0500000000000105</v>
      </c>
      <c r="N83" s="22" cm="1">
        <f t="array" ref="N83">_xlfn.PERCENTILE.INC(($N$16/1000000)*$I$3:$I$523+M83*$J$3:$J$523,0.99)</f>
        <v>23213.164124214374</v>
      </c>
    </row>
    <row r="84" spans="1:14" x14ac:dyDescent="0.2">
      <c r="A84" s="19">
        <v>45680</v>
      </c>
      <c r="B84" s="15">
        <v>4.2910000000000004</v>
      </c>
      <c r="C84" s="15">
        <v>4.6449999999999996</v>
      </c>
      <c r="D84" s="16">
        <v>-0.89999999999994529</v>
      </c>
      <c r="E84" s="16">
        <v>3.2999999999999474</v>
      </c>
      <c r="F84" s="16">
        <f t="shared" si="7"/>
        <v>0</v>
      </c>
      <c r="G84" s="16">
        <f t="shared" si="8"/>
        <v>0</v>
      </c>
      <c r="H84" s="16">
        <f t="shared" si="9"/>
        <v>0</v>
      </c>
      <c r="I84" s="22">
        <f t="shared" si="10"/>
        <v>-169.03817963998969</v>
      </c>
      <c r="J84" s="22">
        <f t="shared" si="11"/>
        <v>2432.2986920099611</v>
      </c>
      <c r="K84" s="22">
        <f t="shared" si="12"/>
        <v>6746.1740073671826</v>
      </c>
      <c r="M84" s="22">
        <f t="shared" si="6"/>
        <v>-5.0000000000000107</v>
      </c>
      <c r="N84" s="22" cm="1">
        <f t="array" ref="N84">_xlfn.PERCENTILE.INC(($N$16/1000000)*$I$3:$I$523+M84*$J$3:$J$523,0.99)</f>
        <v>22750.441158390087</v>
      </c>
    </row>
    <row r="85" spans="1:14" x14ac:dyDescent="0.2">
      <c r="A85" s="19">
        <v>45681</v>
      </c>
      <c r="B85" s="15">
        <v>4.2679999999999998</v>
      </c>
      <c r="C85" s="15">
        <v>4.6219999999999999</v>
      </c>
      <c r="D85" s="16">
        <v>-2.3000000000000576</v>
      </c>
      <c r="E85" s="16">
        <v>-2.2999999999999687</v>
      </c>
      <c r="F85" s="16">
        <f t="shared" si="7"/>
        <v>0</v>
      </c>
      <c r="G85" s="16">
        <f t="shared" si="8"/>
        <v>0</v>
      </c>
      <c r="H85" s="16">
        <f t="shared" si="9"/>
        <v>0</v>
      </c>
      <c r="I85" s="22">
        <f t="shared" si="10"/>
        <v>-432.05872876001081</v>
      </c>
      <c r="J85" s="22">
        <f t="shared" si="11"/>
        <v>-1699.6871183899766</v>
      </c>
      <c r="K85" s="22">
        <f t="shared" si="12"/>
        <v>-12966.953286459175</v>
      </c>
      <c r="M85" s="22">
        <f t="shared" si="6"/>
        <v>-4.9500000000000108</v>
      </c>
      <c r="N85" s="22" cm="1">
        <f t="array" ref="N85">_xlfn.PERCENTILE.INC(($N$16/1000000)*$I$3:$I$523+M85*$J$3:$J$523,0.99)</f>
        <v>22301.715107048163</v>
      </c>
    </row>
    <row r="86" spans="1:14" x14ac:dyDescent="0.2">
      <c r="A86" s="19">
        <v>45684</v>
      </c>
      <c r="B86" s="15">
        <v>4.1989999999999998</v>
      </c>
      <c r="C86" s="15">
        <v>4.5350000000000001</v>
      </c>
      <c r="D86" s="16">
        <v>-6.899999999999995</v>
      </c>
      <c r="E86" s="16">
        <v>-8.6999999999999744</v>
      </c>
      <c r="F86" s="16">
        <f t="shared" si="7"/>
        <v>1</v>
      </c>
      <c r="G86" s="16">
        <f t="shared" si="8"/>
        <v>1</v>
      </c>
      <c r="H86" s="16">
        <f t="shared" si="9"/>
        <v>1</v>
      </c>
      <c r="I86" s="22">
        <f t="shared" si="10"/>
        <v>-1296.888558839999</v>
      </c>
      <c r="J86" s="22">
        <f t="shared" si="11"/>
        <v>-6448.4826447899814</v>
      </c>
      <c r="K86" s="22">
        <f t="shared" si="12"/>
        <v>-44060.989735042924</v>
      </c>
      <c r="M86" s="22">
        <f t="shared" si="6"/>
        <v>-4.900000000000011</v>
      </c>
      <c r="N86" s="22" cm="1">
        <f t="array" ref="N86">_xlfn.PERCENTILE.INC(($N$16/1000000)*$I$3:$I$523+M86*$J$3:$J$523,0.99)</f>
        <v>21998.000554867765</v>
      </c>
    </row>
    <row r="87" spans="1:14" x14ac:dyDescent="0.2">
      <c r="A87" s="19">
        <v>45685</v>
      </c>
      <c r="B87" s="15">
        <v>4.1970000000000001</v>
      </c>
      <c r="C87" s="15">
        <v>4.5330000000000004</v>
      </c>
      <c r="D87" s="16">
        <v>-0.19999999999997797</v>
      </c>
      <c r="E87" s="16">
        <v>-0.19999999999997797</v>
      </c>
      <c r="F87" s="16">
        <f t="shared" si="7"/>
        <v>0</v>
      </c>
      <c r="G87" s="16">
        <f t="shared" si="8"/>
        <v>0</v>
      </c>
      <c r="H87" s="16">
        <f t="shared" si="9"/>
        <v>0</v>
      </c>
      <c r="I87" s="22">
        <f t="shared" si="10"/>
        <v>-37.560897759995861</v>
      </c>
      <c r="J87" s="22">
        <f t="shared" si="11"/>
        <v>-147.65381563998375</v>
      </c>
      <c r="K87" s="22">
        <f t="shared" si="12"/>
        <v>-1126.8661874211166</v>
      </c>
      <c r="M87" s="22">
        <f t="shared" si="6"/>
        <v>-4.8500000000000112</v>
      </c>
      <c r="N87" s="22" cm="1">
        <f t="array" ref="N87">_xlfn.PERCENTILE.INC(($N$16/1000000)*$I$3:$I$523+M87*$J$3:$J$523,0.99)</f>
        <v>21932.044655534613</v>
      </c>
    </row>
    <row r="88" spans="1:14" x14ac:dyDescent="0.2">
      <c r="A88" s="19">
        <v>45686</v>
      </c>
      <c r="B88" s="15">
        <v>4.2160000000000002</v>
      </c>
      <c r="C88" s="15">
        <v>4.53</v>
      </c>
      <c r="D88" s="16">
        <v>1.9000000000000128</v>
      </c>
      <c r="E88" s="16">
        <v>-0.30000000000001137</v>
      </c>
      <c r="F88" s="16">
        <f t="shared" si="7"/>
        <v>0</v>
      </c>
      <c r="G88" s="16">
        <f t="shared" si="8"/>
        <v>0</v>
      </c>
      <c r="H88" s="16">
        <f t="shared" si="9"/>
        <v>0</v>
      </c>
      <c r="I88" s="22">
        <f t="shared" si="10"/>
        <v>356.73897716000243</v>
      </c>
      <c r="J88" s="22">
        <f t="shared" si="11"/>
        <v>-221.49108519000839</v>
      </c>
      <c r="K88" s="22">
        <f t="shared" si="12"/>
        <v>4505.8660351022118</v>
      </c>
      <c r="M88" s="22">
        <f t="shared" si="6"/>
        <v>-4.8000000000000114</v>
      </c>
      <c r="N88" s="22" cm="1">
        <f t="array" ref="N88">_xlfn.PERCENTILE.INC(($N$16/1000000)*$I$3:$I$523+M88*$J$3:$J$523,0.99)</f>
        <v>21873.683301729514</v>
      </c>
    </row>
    <row r="89" spans="1:14" x14ac:dyDescent="0.2">
      <c r="A89" s="19">
        <v>45687</v>
      </c>
      <c r="B89" s="15">
        <v>4.2080000000000002</v>
      </c>
      <c r="C89" s="15">
        <v>4.5170000000000003</v>
      </c>
      <c r="D89" s="16">
        <v>-0.80000000000000071</v>
      </c>
      <c r="E89" s="16">
        <v>-1.2999999999999901</v>
      </c>
      <c r="F89" s="16">
        <f t="shared" si="7"/>
        <v>0</v>
      </c>
      <c r="G89" s="16">
        <f t="shared" si="8"/>
        <v>0</v>
      </c>
      <c r="H89" s="16">
        <f t="shared" si="9"/>
        <v>0</v>
      </c>
      <c r="I89" s="22">
        <f t="shared" si="10"/>
        <v>-150.25436416000014</v>
      </c>
      <c r="J89" s="22">
        <f t="shared" si="11"/>
        <v>-960.24371078999263</v>
      </c>
      <c r="K89" s="22">
        <f t="shared" si="12"/>
        <v>-5918.1429255473995</v>
      </c>
      <c r="M89" s="22">
        <f t="shared" si="6"/>
        <v>-4.7500000000000115</v>
      </c>
      <c r="N89" s="22" cm="1">
        <f t="array" ref="N89">_xlfn.PERCENTILE.INC(($N$16/1000000)*$I$3:$I$523+M89*$J$3:$J$523,0.99)</f>
        <v>21619.615440292659</v>
      </c>
    </row>
    <row r="90" spans="1:14" x14ac:dyDescent="0.2">
      <c r="A90" s="19">
        <v>45688</v>
      </c>
      <c r="B90" s="15">
        <v>4.1989999999999998</v>
      </c>
      <c r="C90" s="15">
        <v>4.5410000000000004</v>
      </c>
      <c r="D90" s="16">
        <v>-0.90000000000003411</v>
      </c>
      <c r="E90" s="16">
        <v>2.4000000000000021</v>
      </c>
      <c r="F90" s="16">
        <f t="shared" si="7"/>
        <v>0</v>
      </c>
      <c r="G90" s="16">
        <f t="shared" si="8"/>
        <v>0</v>
      </c>
      <c r="H90" s="16">
        <f t="shared" si="9"/>
        <v>0</v>
      </c>
      <c r="I90" s="22">
        <f t="shared" si="10"/>
        <v>-169.03817964000638</v>
      </c>
      <c r="J90" s="22">
        <f t="shared" si="11"/>
        <v>1769.6905478400013</v>
      </c>
      <c r="K90" s="22">
        <f t="shared" si="12"/>
        <v>4217.6354783412262</v>
      </c>
      <c r="M90" s="22">
        <f t="shared" ref="M90:M153" si="13">M89+0.05</f>
        <v>-4.7000000000000117</v>
      </c>
      <c r="N90" s="22" cm="1">
        <f t="array" ref="N90">_xlfn.PERCENTILE.INC(($N$16/1000000)*$I$3:$I$523+M90*$J$3:$J$523,0.99)</f>
        <v>21466.946077472923</v>
      </c>
    </row>
    <row r="91" spans="1:14" x14ac:dyDescent="0.2">
      <c r="A91" s="19">
        <v>45691</v>
      </c>
      <c r="B91" s="15">
        <v>4.25</v>
      </c>
      <c r="C91" s="15">
        <v>4.5570000000000004</v>
      </c>
      <c r="D91" s="16">
        <v>5.1000000000000156</v>
      </c>
      <c r="E91" s="16">
        <v>1.6000000000000014</v>
      </c>
      <c r="F91" s="16">
        <f t="shared" si="7"/>
        <v>0</v>
      </c>
      <c r="G91" s="16">
        <f t="shared" si="8"/>
        <v>0</v>
      </c>
      <c r="H91" s="16">
        <f t="shared" si="9"/>
        <v>0</v>
      </c>
      <c r="I91" s="22">
        <f t="shared" si="10"/>
        <v>957.19623156000284</v>
      </c>
      <c r="J91" s="22">
        <f t="shared" si="11"/>
        <v>1180.235799040001</v>
      </c>
      <c r="K91" s="22">
        <f t="shared" si="12"/>
        <v>18861.769328040631</v>
      </c>
      <c r="M91" s="22">
        <f t="shared" si="13"/>
        <v>-4.6500000000000119</v>
      </c>
      <c r="N91" s="22" cm="1">
        <f t="array" ref="N91">_xlfn.PERCENTILE.INC(($N$16/1000000)*$I$3:$I$523+M91*$J$3:$J$523,0.99)</f>
        <v>21337.372685293412</v>
      </c>
    </row>
    <row r="92" spans="1:14" x14ac:dyDescent="0.2">
      <c r="A92" s="19">
        <v>45692</v>
      </c>
      <c r="B92" s="15">
        <v>4.2149999999999999</v>
      </c>
      <c r="C92" s="15">
        <v>4.5129999999999999</v>
      </c>
      <c r="D92" s="16">
        <v>-3.5000000000000142</v>
      </c>
      <c r="E92" s="16">
        <v>-4.4000000000000483</v>
      </c>
      <c r="F92" s="16">
        <f t="shared" si="7"/>
        <v>0</v>
      </c>
      <c r="G92" s="16">
        <f t="shared" si="8"/>
        <v>0</v>
      </c>
      <c r="H92" s="16">
        <f t="shared" si="9"/>
        <v>0</v>
      </c>
      <c r="I92" s="22">
        <f t="shared" si="10"/>
        <v>-657.57493900000259</v>
      </c>
      <c r="J92" s="22">
        <f t="shared" si="11"/>
        <v>-3254.7667697600364</v>
      </c>
      <c r="K92" s="22">
        <f t="shared" si="12"/>
        <v>-22283.941059280754</v>
      </c>
      <c r="M92" s="22">
        <f t="shared" si="13"/>
        <v>-4.6000000000000121</v>
      </c>
      <c r="N92" s="22" cm="1">
        <f t="array" ref="N92">_xlfn.PERCENTILE.INC(($N$16/1000000)*$I$3:$I$523+M92*$J$3:$J$523,0.99)</f>
        <v>21207.799293113902</v>
      </c>
    </row>
    <row r="93" spans="1:14" x14ac:dyDescent="0.2">
      <c r="A93" s="19">
        <v>45693</v>
      </c>
      <c r="B93" s="15">
        <v>4.1890000000000001</v>
      </c>
      <c r="C93" s="15">
        <v>4.4189999999999996</v>
      </c>
      <c r="D93" s="16">
        <v>-2.5999999999999801</v>
      </c>
      <c r="E93" s="16">
        <v>-9.4000000000000306</v>
      </c>
      <c r="F93" s="16">
        <f t="shared" si="7"/>
        <v>0</v>
      </c>
      <c r="G93" s="16">
        <f t="shared" si="8"/>
        <v>1</v>
      </c>
      <c r="H93" s="16">
        <f t="shared" si="9"/>
        <v>0</v>
      </c>
      <c r="I93" s="22">
        <f t="shared" si="10"/>
        <v>-488.43172143999624</v>
      </c>
      <c r="J93" s="22">
        <f t="shared" si="11"/>
        <v>-6969.5987487600232</v>
      </c>
      <c r="K93" s="22">
        <f t="shared" si="12"/>
        <v>-33922.736557521086</v>
      </c>
      <c r="M93" s="22">
        <f t="shared" si="13"/>
        <v>-4.5500000000000123</v>
      </c>
      <c r="N93" s="22" cm="1">
        <f t="array" ref="N93">_xlfn.PERCENTILE.INC(($N$16/1000000)*$I$3:$I$523+M93*$J$3:$J$523,0.99)</f>
        <v>21020.066094892223</v>
      </c>
    </row>
    <row r="94" spans="1:14" x14ac:dyDescent="0.2">
      <c r="A94" s="19">
        <v>45694</v>
      </c>
      <c r="B94" s="15">
        <v>4.2140000000000004</v>
      </c>
      <c r="C94" s="15">
        <v>4.4349999999999996</v>
      </c>
      <c r="D94" s="16">
        <v>2.5000000000000355</v>
      </c>
      <c r="E94" s="16">
        <v>1.6000000000000014</v>
      </c>
      <c r="F94" s="16">
        <f t="shared" si="7"/>
        <v>0</v>
      </c>
      <c r="G94" s="16">
        <f t="shared" si="8"/>
        <v>0</v>
      </c>
      <c r="H94" s="16">
        <f t="shared" si="9"/>
        <v>0</v>
      </c>
      <c r="I94" s="22">
        <f t="shared" si="10"/>
        <v>469.35972500000656</v>
      </c>
      <c r="J94" s="22">
        <f t="shared" si="11"/>
        <v>1180.235799040001</v>
      </c>
      <c r="K94" s="22">
        <f t="shared" si="12"/>
        <v>11544.221729640687</v>
      </c>
      <c r="M94" s="22">
        <f t="shared" si="13"/>
        <v>-4.5000000000000124</v>
      </c>
      <c r="N94" s="22" cm="1">
        <f t="array" ref="N94">_xlfn.PERCENTILE.INC(($N$16/1000000)*$I$3:$I$523+M94*$J$3:$J$523,0.99)</f>
        <v>21125.46139457091</v>
      </c>
    </row>
    <row r="95" spans="1:14" x14ac:dyDescent="0.2">
      <c r="A95" s="19">
        <v>45695</v>
      </c>
      <c r="B95" s="15">
        <v>4.29</v>
      </c>
      <c r="C95" s="15">
        <v>4.4960000000000004</v>
      </c>
      <c r="D95" s="16">
        <v>7.5999999999999623</v>
      </c>
      <c r="E95" s="16">
        <v>6.1000000000000831</v>
      </c>
      <c r="F95" s="16">
        <f t="shared" si="7"/>
        <v>1</v>
      </c>
      <c r="G95" s="16">
        <f t="shared" si="8"/>
        <v>1</v>
      </c>
      <c r="H95" s="16">
        <f t="shared" si="9"/>
        <v>1</v>
      </c>
      <c r="I95" s="22">
        <f t="shared" si="10"/>
        <v>1425.9836345599931</v>
      </c>
      <c r="J95" s="22">
        <f t="shared" si="11"/>
        <v>4490.1680008900612</v>
      </c>
      <c r="K95" s="22">
        <f t="shared" si="12"/>
        <v>38524.410788390822</v>
      </c>
      <c r="M95" s="22">
        <f t="shared" si="13"/>
        <v>-4.4500000000000126</v>
      </c>
      <c r="N95" s="22" cm="1">
        <f t="array" ref="N95">_xlfn.PERCENTILE.INC(($N$16/1000000)*$I$3:$I$523+M95*$J$3:$J$523,0.99)</f>
        <v>21091.213784675419</v>
      </c>
    </row>
    <row r="96" spans="1:14" x14ac:dyDescent="0.2">
      <c r="A96" s="19">
        <v>45698</v>
      </c>
      <c r="B96" s="15">
        <v>4.2770000000000001</v>
      </c>
      <c r="C96" s="15">
        <v>4.4980000000000002</v>
      </c>
      <c r="D96" s="16">
        <v>-1.2999999999999901</v>
      </c>
      <c r="E96" s="16">
        <v>0.19999999999997797</v>
      </c>
      <c r="F96" s="16">
        <f t="shared" si="7"/>
        <v>0</v>
      </c>
      <c r="G96" s="16">
        <f t="shared" si="8"/>
        <v>0</v>
      </c>
      <c r="H96" s="16">
        <f t="shared" si="9"/>
        <v>0</v>
      </c>
      <c r="I96" s="22">
        <f t="shared" si="10"/>
        <v>-244.1779303599981</v>
      </c>
      <c r="J96" s="22">
        <f t="shared" si="11"/>
        <v>147.62618435998374</v>
      </c>
      <c r="K96" s="22">
        <f t="shared" si="12"/>
        <v>-3099.3216764212743</v>
      </c>
      <c r="M96" s="22">
        <f t="shared" si="13"/>
        <v>-4.4000000000000128</v>
      </c>
      <c r="N96" s="22" cm="1">
        <f t="array" ref="N96">_xlfn.PERCENTILE.INC(($N$16/1000000)*$I$3:$I$523+M96*$J$3:$J$523,0.99)</f>
        <v>21071.149581835933</v>
      </c>
    </row>
    <row r="97" spans="1:14" x14ac:dyDescent="0.2">
      <c r="A97" s="19">
        <v>45699</v>
      </c>
      <c r="B97" s="15">
        <v>4.2859999999999996</v>
      </c>
      <c r="C97" s="15">
        <v>4.5359999999999996</v>
      </c>
      <c r="D97" s="16">
        <v>0.89999999999994529</v>
      </c>
      <c r="E97" s="16">
        <v>3.7999999999999368</v>
      </c>
      <c r="F97" s="16">
        <f t="shared" si="7"/>
        <v>0</v>
      </c>
      <c r="G97" s="16">
        <f t="shared" si="8"/>
        <v>0</v>
      </c>
      <c r="H97" s="16">
        <f t="shared" si="9"/>
        <v>0</v>
      </c>
      <c r="I97" s="22">
        <f t="shared" si="10"/>
        <v>169.00182035998972</v>
      </c>
      <c r="J97" s="22">
        <f t="shared" si="11"/>
        <v>2800.1725539599538</v>
      </c>
      <c r="K97" s="22">
        <f t="shared" si="12"/>
        <v>13220.595016731721</v>
      </c>
      <c r="M97" s="22">
        <f t="shared" si="13"/>
        <v>-4.350000000000013</v>
      </c>
      <c r="N97" s="22" cm="1">
        <f t="array" ref="N97">_xlfn.PERCENTILE.INC(($N$16/1000000)*$I$3:$I$523+M97*$J$3:$J$523,0.99)</f>
        <v>21122.471311480615</v>
      </c>
    </row>
    <row r="98" spans="1:14" x14ac:dyDescent="0.2">
      <c r="A98" s="19">
        <v>45700</v>
      </c>
      <c r="B98" s="15">
        <v>4.3559999999999999</v>
      </c>
      <c r="C98" s="15">
        <v>4.625</v>
      </c>
      <c r="D98" s="16">
        <v>7.0000000000000284</v>
      </c>
      <c r="E98" s="16">
        <v>8.9000000000000412</v>
      </c>
      <c r="F98" s="16">
        <f t="shared" si="7"/>
        <v>1</v>
      </c>
      <c r="G98" s="16">
        <f t="shared" si="8"/>
        <v>1</v>
      </c>
      <c r="H98" s="16">
        <f t="shared" si="9"/>
        <v>1</v>
      </c>
      <c r="I98" s="22">
        <f t="shared" si="10"/>
        <v>1313.5002440000051</v>
      </c>
      <c r="J98" s="22">
        <f t="shared" si="11"/>
        <v>6542.6215788900299</v>
      </c>
      <c r="K98" s="22">
        <f t="shared" si="12"/>
        <v>44669.402857687979</v>
      </c>
      <c r="M98" s="22">
        <f t="shared" si="13"/>
        <v>-4.3000000000000131</v>
      </c>
      <c r="N98" s="22" cm="1">
        <f t="array" ref="N98">_xlfn.PERCENTILE.INC(($N$16/1000000)*$I$3:$I$523+M98*$J$3:$J$523,0.99)</f>
        <v>21252.788529349098</v>
      </c>
    </row>
    <row r="99" spans="1:14" x14ac:dyDescent="0.2">
      <c r="A99" s="19">
        <v>45701</v>
      </c>
      <c r="B99" s="15">
        <v>4.3090000000000002</v>
      </c>
      <c r="C99" s="15">
        <v>4.53</v>
      </c>
      <c r="D99" s="16">
        <v>-4.6999999999999709</v>
      </c>
      <c r="E99" s="16">
        <v>-9.4999999999999751</v>
      </c>
      <c r="F99" s="16">
        <f t="shared" si="7"/>
        <v>1</v>
      </c>
      <c r="G99" s="16">
        <f t="shared" si="8"/>
        <v>1</v>
      </c>
      <c r="H99" s="16">
        <f t="shared" si="9"/>
        <v>1</v>
      </c>
      <c r="I99" s="22">
        <f t="shared" si="10"/>
        <v>-883.15578795999443</v>
      </c>
      <c r="J99" s="22">
        <f t="shared" si="11"/>
        <v>-7044.0715377499819</v>
      </c>
      <c r="K99" s="22">
        <f t="shared" si="12"/>
        <v>-40127.788623574525</v>
      </c>
      <c r="M99" s="22">
        <f t="shared" si="13"/>
        <v>-4.2500000000000133</v>
      </c>
      <c r="N99" s="22" cm="1">
        <f t="array" ref="N99">_xlfn.PERCENTILE.INC(($N$16/1000000)*$I$3:$I$523+M99*$J$3:$J$523,0.99)</f>
        <v>21231.708409873423</v>
      </c>
    </row>
    <row r="100" spans="1:14" x14ac:dyDescent="0.2">
      <c r="A100" s="19">
        <v>45702</v>
      </c>
      <c r="B100" s="15">
        <v>4.2610000000000001</v>
      </c>
      <c r="C100" s="15">
        <v>4.4770000000000003</v>
      </c>
      <c r="D100" s="16">
        <v>-4.8000000000000043</v>
      </c>
      <c r="E100" s="16">
        <v>-5.2999999999999936</v>
      </c>
      <c r="F100" s="16">
        <f t="shared" si="7"/>
        <v>1</v>
      </c>
      <c r="G100" s="16">
        <f t="shared" si="8"/>
        <v>1</v>
      </c>
      <c r="H100" s="16">
        <f t="shared" si="9"/>
        <v>1</v>
      </c>
      <c r="I100" s="22">
        <f t="shared" si="10"/>
        <v>-901.95710976000066</v>
      </c>
      <c r="J100" s="22">
        <f t="shared" si="11"/>
        <v>-3922.1620331899953</v>
      </c>
      <c r="K100" s="22">
        <f t="shared" si="12"/>
        <v>-28496.479983566383</v>
      </c>
      <c r="M100" s="22">
        <f t="shared" si="13"/>
        <v>-4.2000000000000135</v>
      </c>
      <c r="N100" s="22" cm="1">
        <f t="array" ref="N100">_xlfn.PERCENTILE.INC(($N$16/1000000)*$I$3:$I$523+M100*$J$3:$J$523,0.99)</f>
        <v>21173.347056068327</v>
      </c>
    </row>
    <row r="101" spans="1:14" x14ac:dyDescent="0.2">
      <c r="A101" s="19">
        <v>45705</v>
      </c>
      <c r="B101" s="15">
        <v>4.2610000000000001</v>
      </c>
      <c r="C101" s="15">
        <v>4.4770000000000003</v>
      </c>
      <c r="D101" s="16">
        <v>0</v>
      </c>
      <c r="E101" s="16">
        <v>0</v>
      </c>
      <c r="F101" s="16">
        <f t="shared" si="7"/>
        <v>0</v>
      </c>
      <c r="G101" s="16">
        <f t="shared" si="8"/>
        <v>0</v>
      </c>
      <c r="H101" s="16">
        <f t="shared" si="9"/>
        <v>0</v>
      </c>
      <c r="I101" s="22">
        <f t="shared" si="10"/>
        <v>0</v>
      </c>
      <c r="J101" s="22">
        <f t="shared" si="11"/>
        <v>0</v>
      </c>
      <c r="K101" s="22">
        <f t="shared" si="12"/>
        <v>0</v>
      </c>
      <c r="M101" s="22">
        <f t="shared" si="13"/>
        <v>-4.1500000000000137</v>
      </c>
      <c r="N101" s="22" cm="1">
        <f t="array" ref="N101">_xlfn.PERCENTILE.INC(($N$16/1000000)*$I$3:$I$523+M101*$J$3:$J$523,0.99)</f>
        <v>21114.985702263228</v>
      </c>
    </row>
    <row r="102" spans="1:14" x14ac:dyDescent="0.2">
      <c r="A102" s="19">
        <v>45706</v>
      </c>
      <c r="B102" s="15">
        <v>4.3079999999999998</v>
      </c>
      <c r="C102" s="15">
        <v>4.5510000000000002</v>
      </c>
      <c r="D102" s="16">
        <v>4.6999999999999709</v>
      </c>
      <c r="E102" s="16">
        <v>7.3999999999999844</v>
      </c>
      <c r="F102" s="16">
        <f t="shared" si="7"/>
        <v>0</v>
      </c>
      <c r="G102" s="16">
        <f t="shared" si="8"/>
        <v>1</v>
      </c>
      <c r="H102" s="16">
        <f t="shared" si="9"/>
        <v>0</v>
      </c>
      <c r="I102" s="22">
        <f t="shared" si="10"/>
        <v>882.16421203999448</v>
      </c>
      <c r="J102" s="22">
        <f t="shared" si="11"/>
        <v>5443.7663888399893</v>
      </c>
      <c r="K102" s="22">
        <f t="shared" si="12"/>
        <v>34006.088102521142</v>
      </c>
      <c r="M102" s="22">
        <f t="shared" si="13"/>
        <v>-4.1000000000000139</v>
      </c>
      <c r="N102" s="22" cm="1">
        <f t="array" ref="N102">_xlfn.PERCENTILE.INC(($N$16/1000000)*$I$3:$I$523+M102*$J$3:$J$523,0.99)</f>
        <v>21056.624348458128</v>
      </c>
    </row>
    <row r="103" spans="1:14" x14ac:dyDescent="0.2">
      <c r="A103" s="19">
        <v>45707</v>
      </c>
      <c r="B103" s="15">
        <v>4.2699999999999996</v>
      </c>
      <c r="C103" s="15">
        <v>4.5339999999999998</v>
      </c>
      <c r="D103" s="16">
        <v>-3.8000000000000256</v>
      </c>
      <c r="E103" s="16">
        <v>-1.7000000000000348</v>
      </c>
      <c r="F103" s="16">
        <f t="shared" si="7"/>
        <v>0</v>
      </c>
      <c r="G103" s="16">
        <f t="shared" si="8"/>
        <v>0</v>
      </c>
      <c r="H103" s="16">
        <f t="shared" si="9"/>
        <v>0</v>
      </c>
      <c r="I103" s="22">
        <f t="shared" si="10"/>
        <v>-713.96409136000477</v>
      </c>
      <c r="J103" s="22">
        <f t="shared" si="11"/>
        <v>-1255.9381799900254</v>
      </c>
      <c r="K103" s="22">
        <f t="shared" si="12"/>
        <v>-15502.170464184819</v>
      </c>
      <c r="M103" s="22">
        <f t="shared" si="13"/>
        <v>-4.050000000000014</v>
      </c>
      <c r="N103" s="22" cm="1">
        <f t="array" ref="N103">_xlfn.PERCENTILE.INC(($N$16/1000000)*$I$3:$I$523+M103*$J$3:$J$523,0.99)</f>
        <v>20841.547690645668</v>
      </c>
    </row>
    <row r="104" spans="1:14" x14ac:dyDescent="0.2">
      <c r="A104" s="19">
        <v>45708</v>
      </c>
      <c r="B104" s="15">
        <v>4.2709999999999999</v>
      </c>
      <c r="C104" s="15">
        <v>4.5060000000000002</v>
      </c>
      <c r="D104" s="16">
        <v>0.1000000000000334</v>
      </c>
      <c r="E104" s="16">
        <v>-2.7999999999999581</v>
      </c>
      <c r="F104" s="16">
        <f t="shared" si="7"/>
        <v>0</v>
      </c>
      <c r="G104" s="16">
        <f t="shared" si="8"/>
        <v>0</v>
      </c>
      <c r="H104" s="16">
        <f t="shared" si="9"/>
        <v>0</v>
      </c>
      <c r="I104" s="22">
        <f t="shared" si="10"/>
        <v>18.779775560006268</v>
      </c>
      <c r="J104" s="22">
        <f t="shared" si="11"/>
        <v>-2069.6678654399689</v>
      </c>
      <c r="K104" s="22">
        <f t="shared" si="12"/>
        <v>-7616.2366867629953</v>
      </c>
      <c r="M104" s="22">
        <f t="shared" si="13"/>
        <v>-4.0000000000000142</v>
      </c>
      <c r="N104" s="22" cm="1">
        <f t="array" ref="N104">_xlfn.PERCENTILE.INC(($N$16/1000000)*$I$3:$I$523+M104*$J$3:$J$523,0.99)</f>
        <v>20548.725472080179</v>
      </c>
    </row>
    <row r="105" spans="1:14" x14ac:dyDescent="0.2">
      <c r="A105" s="19">
        <v>45709</v>
      </c>
      <c r="B105" s="15">
        <v>4.2</v>
      </c>
      <c r="C105" s="15">
        <v>4.4320000000000004</v>
      </c>
      <c r="D105" s="16">
        <v>-7.099999999999973</v>
      </c>
      <c r="E105" s="16">
        <v>-7.3999999999999844</v>
      </c>
      <c r="F105" s="16">
        <f t="shared" si="7"/>
        <v>1</v>
      </c>
      <c r="G105" s="16">
        <f t="shared" si="8"/>
        <v>1</v>
      </c>
      <c r="H105" s="16">
        <f t="shared" si="9"/>
        <v>1</v>
      </c>
      <c r="I105" s="22">
        <f t="shared" si="10"/>
        <v>-1334.5114020399949</v>
      </c>
      <c r="J105" s="22">
        <f t="shared" si="11"/>
        <v>-5481.5936111599885</v>
      </c>
      <c r="K105" s="22">
        <f t="shared" si="12"/>
        <v>-40935.646108678608</v>
      </c>
      <c r="M105" s="22">
        <f t="shared" si="13"/>
        <v>-3.9500000000000144</v>
      </c>
      <c r="N105" s="22" cm="1">
        <f t="array" ref="N105">_xlfn.PERCENTILE.INC(($N$16/1000000)*$I$3:$I$523+M105*$J$3:$J$523,0.99)</f>
        <v>20413.295306051961</v>
      </c>
    </row>
    <row r="106" spans="1:14" x14ac:dyDescent="0.2">
      <c r="A106" s="19">
        <v>45712</v>
      </c>
      <c r="B106" s="15">
        <v>4.1760000000000002</v>
      </c>
      <c r="C106" s="15">
        <v>4.4009999999999998</v>
      </c>
      <c r="D106" s="16">
        <v>-2.4000000000000021</v>
      </c>
      <c r="E106" s="16">
        <v>-3.1000000000000583</v>
      </c>
      <c r="F106" s="16">
        <f t="shared" si="7"/>
        <v>0</v>
      </c>
      <c r="G106" s="16">
        <f t="shared" si="8"/>
        <v>0</v>
      </c>
      <c r="H106" s="16">
        <f t="shared" si="9"/>
        <v>0</v>
      </c>
      <c r="I106" s="22">
        <f t="shared" si="10"/>
        <v>-450.84927744000038</v>
      </c>
      <c r="J106" s="22">
        <f t="shared" si="11"/>
        <v>-2291.7392075100433</v>
      </c>
      <c r="K106" s="22">
        <f t="shared" si="12"/>
        <v>-15508.105386953286</v>
      </c>
      <c r="M106" s="22">
        <f t="shared" si="13"/>
        <v>-3.9000000000000146</v>
      </c>
      <c r="N106" s="22" cm="1">
        <f t="array" ref="N106">_xlfn.PERCENTILE.INC(($N$16/1000000)*$I$3:$I$523+M106*$J$3:$J$523,0.99)</f>
        <v>20287.44624410395</v>
      </c>
    </row>
    <row r="107" spans="1:14" x14ac:dyDescent="0.2">
      <c r="A107" s="19">
        <v>45713</v>
      </c>
      <c r="B107" s="15">
        <v>4.0960000000000001</v>
      </c>
      <c r="C107" s="15">
        <v>4.2949999999999999</v>
      </c>
      <c r="D107" s="16">
        <v>-8.0000000000000071</v>
      </c>
      <c r="E107" s="16">
        <v>-10.599999999999987</v>
      </c>
      <c r="F107" s="16">
        <f t="shared" si="7"/>
        <v>1</v>
      </c>
      <c r="G107" s="16">
        <f t="shared" si="8"/>
        <v>1</v>
      </c>
      <c r="H107" s="16">
        <f t="shared" si="9"/>
        <v>1</v>
      </c>
      <c r="I107" s="22">
        <f t="shared" si="10"/>
        <v>-1503.8364160000012</v>
      </c>
      <c r="J107" s="22">
        <f t="shared" si="11"/>
        <v>-7863.7281327599903</v>
      </c>
      <c r="K107" s="22">
        <f t="shared" si="12"/>
        <v>-52565.839588665549</v>
      </c>
      <c r="M107" s="22">
        <f t="shared" si="13"/>
        <v>-3.8500000000000147</v>
      </c>
      <c r="N107" s="22" cm="1">
        <f t="array" ref="N107">_xlfn.PERCENTILE.INC(($N$16/1000000)*$I$3:$I$523+M107*$J$3:$J$523,0.99)</f>
        <v>20161.59718215594</v>
      </c>
    </row>
    <row r="108" spans="1:14" x14ac:dyDescent="0.2">
      <c r="A108" s="19">
        <v>45714</v>
      </c>
      <c r="B108" s="15">
        <v>4.0730000000000004</v>
      </c>
      <c r="C108" s="15">
        <v>4.2569999999999997</v>
      </c>
      <c r="D108" s="16">
        <v>-2.2999999999999687</v>
      </c>
      <c r="E108" s="16">
        <v>-3.8000000000000256</v>
      </c>
      <c r="F108" s="16">
        <f t="shared" si="7"/>
        <v>0</v>
      </c>
      <c r="G108" s="16">
        <f t="shared" si="8"/>
        <v>0</v>
      </c>
      <c r="H108" s="16">
        <f t="shared" si="9"/>
        <v>0</v>
      </c>
      <c r="I108" s="22">
        <f t="shared" si="10"/>
        <v>-432.0587287599941</v>
      </c>
      <c r="J108" s="22">
        <f t="shared" si="11"/>
        <v>-2810.1474460400191</v>
      </c>
      <c r="K108" s="22">
        <f t="shared" si="12"/>
        <v>-17204.513220067933</v>
      </c>
      <c r="M108" s="22">
        <f t="shared" si="13"/>
        <v>-3.8000000000000149</v>
      </c>
      <c r="N108" s="22" cm="1">
        <f t="array" ref="N108">_xlfn.PERCENTILE.INC(($N$16/1000000)*$I$3:$I$523+M108*$J$3:$J$523,0.99)</f>
        <v>20098.198081878683</v>
      </c>
    </row>
    <row r="109" spans="1:14" x14ac:dyDescent="0.2">
      <c r="A109" s="19">
        <v>45715</v>
      </c>
      <c r="B109" s="15">
        <v>4.0529999999999999</v>
      </c>
      <c r="C109" s="15">
        <v>4.2610000000000001</v>
      </c>
      <c r="D109" s="16">
        <v>-2.0000000000000462</v>
      </c>
      <c r="E109" s="16">
        <v>0.40000000000004476</v>
      </c>
      <c r="F109" s="16">
        <f t="shared" si="7"/>
        <v>0</v>
      </c>
      <c r="G109" s="16">
        <f t="shared" si="8"/>
        <v>0</v>
      </c>
      <c r="H109" s="16">
        <f t="shared" si="9"/>
        <v>0</v>
      </c>
      <c r="I109" s="22">
        <f t="shared" si="10"/>
        <v>-375.68977600000864</v>
      </c>
      <c r="J109" s="22">
        <f t="shared" si="11"/>
        <v>295.22473744003298</v>
      </c>
      <c r="K109" s="22">
        <f t="shared" si="12"/>
        <v>-4508.7575240849674</v>
      </c>
      <c r="M109" s="22">
        <f t="shared" si="13"/>
        <v>-3.7500000000000151</v>
      </c>
      <c r="N109" s="22" cm="1">
        <f t="array" ref="N109">_xlfn.PERCENTILE.INC(($N$16/1000000)*$I$3:$I$523+M109*$J$3:$J$523,0.99)</f>
        <v>20073.723744622399</v>
      </c>
    </row>
    <row r="110" spans="1:14" x14ac:dyDescent="0.2">
      <c r="A110" s="19">
        <v>45716</v>
      </c>
      <c r="B110" s="15">
        <v>3.9910000000000001</v>
      </c>
      <c r="C110" s="15">
        <v>4.2089999999999996</v>
      </c>
      <c r="D110" s="16">
        <v>-6.1999999999999833</v>
      </c>
      <c r="E110" s="16">
        <v>-5.200000000000049</v>
      </c>
      <c r="F110" s="16">
        <f t="shared" si="7"/>
        <v>1</v>
      </c>
      <c r="G110" s="16">
        <f t="shared" si="8"/>
        <v>1</v>
      </c>
      <c r="H110" s="16">
        <f t="shared" si="9"/>
        <v>1</v>
      </c>
      <c r="I110" s="22">
        <f t="shared" si="10"/>
        <v>-1165.2227473599967</v>
      </c>
      <c r="J110" s="22">
        <f t="shared" si="11"/>
        <v>-3847.9793726400362</v>
      </c>
      <c r="K110" s="22">
        <f t="shared" si="12"/>
        <v>-32162.380620758908</v>
      </c>
      <c r="M110" s="22">
        <f t="shared" si="13"/>
        <v>-3.7000000000000153</v>
      </c>
      <c r="N110" s="22" cm="1">
        <f t="array" ref="N110">_xlfn.PERCENTILE.INC(($N$16/1000000)*$I$3:$I$523+M110*$J$3:$J$523,0.99)</f>
        <v>20049.249407366111</v>
      </c>
    </row>
    <row r="111" spans="1:14" x14ac:dyDescent="0.2">
      <c r="A111" s="19">
        <v>45719</v>
      </c>
      <c r="B111" s="15">
        <v>3.952</v>
      </c>
      <c r="C111" s="15">
        <v>4.1559999999999997</v>
      </c>
      <c r="D111" s="16">
        <v>-3.9000000000000146</v>
      </c>
      <c r="E111" s="16">
        <v>-5.2999999999999936</v>
      </c>
      <c r="F111" s="16">
        <f t="shared" si="7"/>
        <v>0</v>
      </c>
      <c r="G111" s="16">
        <f t="shared" si="8"/>
        <v>1</v>
      </c>
      <c r="H111" s="16">
        <f t="shared" si="9"/>
        <v>0</v>
      </c>
      <c r="I111" s="22">
        <f t="shared" si="10"/>
        <v>-732.76137324000263</v>
      </c>
      <c r="J111" s="22">
        <f t="shared" si="11"/>
        <v>-3922.1620331899953</v>
      </c>
      <c r="K111" s="22">
        <f t="shared" si="12"/>
        <v>-25958.543935766415</v>
      </c>
      <c r="M111" s="22">
        <f t="shared" si="13"/>
        <v>-3.6500000000000155</v>
      </c>
      <c r="N111" s="22" cm="1">
        <f t="array" ref="N111">_xlfn.PERCENTILE.INC(($N$16/1000000)*$I$3:$I$523+M111*$J$3:$J$523,0.99)</f>
        <v>20024.775070109823</v>
      </c>
    </row>
    <row r="112" spans="1:14" x14ac:dyDescent="0.2">
      <c r="A112" s="19">
        <v>45720</v>
      </c>
      <c r="B112" s="15">
        <v>3.9929999999999999</v>
      </c>
      <c r="C112" s="15">
        <v>4.2450000000000001</v>
      </c>
      <c r="D112" s="16">
        <v>4.0999999999999925</v>
      </c>
      <c r="E112" s="16">
        <v>8.9000000000000412</v>
      </c>
      <c r="F112" s="16">
        <f t="shared" si="7"/>
        <v>0</v>
      </c>
      <c r="G112" s="16">
        <f t="shared" si="8"/>
        <v>1</v>
      </c>
      <c r="H112" s="16">
        <f t="shared" si="9"/>
        <v>0</v>
      </c>
      <c r="I112" s="22">
        <f t="shared" si="10"/>
        <v>769.60271635999857</v>
      </c>
      <c r="J112" s="22">
        <f t="shared" si="11"/>
        <v>6542.6215788900299</v>
      </c>
      <c r="K112" s="22">
        <f t="shared" si="12"/>
        <v>36510.939943087884</v>
      </c>
      <c r="M112" s="22">
        <f t="shared" si="13"/>
        <v>-3.6000000000000156</v>
      </c>
      <c r="N112" s="22" cm="1">
        <f t="array" ref="N112">_xlfn.PERCENTILE.INC(($N$16/1000000)*$I$3:$I$523+M112*$J$3:$J$523,0.99)</f>
        <v>20077.943165306329</v>
      </c>
    </row>
    <row r="113" spans="1:14" x14ac:dyDescent="0.2">
      <c r="A113" s="19">
        <v>45721</v>
      </c>
      <c r="B113" s="15">
        <v>4.0069999999999997</v>
      </c>
      <c r="C113" s="15">
        <v>4.28</v>
      </c>
      <c r="D113" s="16">
        <v>1.399999999999979</v>
      </c>
      <c r="E113" s="16">
        <v>3.5000000000000142</v>
      </c>
      <c r="F113" s="16">
        <f t="shared" si="7"/>
        <v>0</v>
      </c>
      <c r="G113" s="16">
        <f t="shared" si="8"/>
        <v>0</v>
      </c>
      <c r="H113" s="16">
        <f t="shared" si="9"/>
        <v>0</v>
      </c>
      <c r="I113" s="22">
        <f t="shared" si="10"/>
        <v>262.87600975999607</v>
      </c>
      <c r="J113" s="22">
        <f t="shared" si="11"/>
        <v>2579.4689602500102</v>
      </c>
      <c r="K113" s="22">
        <f t="shared" si="12"/>
        <v>13786.494333644967</v>
      </c>
      <c r="M113" s="22">
        <f t="shared" si="13"/>
        <v>-3.5500000000000158</v>
      </c>
      <c r="N113" s="22" cm="1">
        <f t="array" ref="N113">_xlfn.PERCENTILE.INC(($N$16/1000000)*$I$3:$I$523+M113*$J$3:$J$523,0.99)</f>
        <v>20190.619845507619</v>
      </c>
    </row>
    <row r="114" spans="1:14" x14ac:dyDescent="0.2">
      <c r="A114" s="19">
        <v>45722</v>
      </c>
      <c r="B114" s="15">
        <v>3.9609999999999999</v>
      </c>
      <c r="C114" s="15">
        <v>4.2789999999999999</v>
      </c>
      <c r="D114" s="16">
        <v>-4.5999999999999819</v>
      </c>
      <c r="E114" s="16">
        <v>-0.1000000000000334</v>
      </c>
      <c r="F114" s="16">
        <f t="shared" si="7"/>
        <v>0</v>
      </c>
      <c r="G114" s="16">
        <f t="shared" si="8"/>
        <v>0</v>
      </c>
      <c r="H114" s="16">
        <f t="shared" si="9"/>
        <v>0</v>
      </c>
      <c r="I114" s="22">
        <f t="shared" si="10"/>
        <v>-864.35491503999663</v>
      </c>
      <c r="J114" s="22">
        <f t="shared" si="11"/>
        <v>-73.823453910024654</v>
      </c>
      <c r="K114" s="22">
        <f t="shared" si="12"/>
        <v>-13247.036905855355</v>
      </c>
      <c r="M114" s="22">
        <f t="shared" si="13"/>
        <v>-3.500000000000016</v>
      </c>
      <c r="N114" s="22" cm="1">
        <f t="array" ref="N114">_xlfn.PERCENTILE.INC(($N$16/1000000)*$I$3:$I$523+M114*$J$3:$J$523,0.99)</f>
        <v>20303.296525708909</v>
      </c>
    </row>
    <row r="115" spans="1:14" x14ac:dyDescent="0.2">
      <c r="A115" s="19">
        <v>45723</v>
      </c>
      <c r="B115" s="15">
        <v>4.0010000000000003</v>
      </c>
      <c r="C115" s="15">
        <v>4.3029999999999999</v>
      </c>
      <c r="D115" s="16">
        <v>4.000000000000048</v>
      </c>
      <c r="E115" s="16">
        <v>2.4000000000000021</v>
      </c>
      <c r="F115" s="16">
        <f t="shared" si="7"/>
        <v>0</v>
      </c>
      <c r="G115" s="16">
        <f t="shared" si="8"/>
        <v>0</v>
      </c>
      <c r="H115" s="16">
        <f t="shared" si="9"/>
        <v>0</v>
      </c>
      <c r="I115" s="22">
        <f t="shared" si="10"/>
        <v>750.84089600000891</v>
      </c>
      <c r="J115" s="22">
        <f t="shared" si="11"/>
        <v>1769.6905478400013</v>
      </c>
      <c r="K115" s="22">
        <f t="shared" si="12"/>
        <v>18015.821612941454</v>
      </c>
      <c r="M115" s="22">
        <f t="shared" si="13"/>
        <v>-3.4500000000000162</v>
      </c>
      <c r="N115" s="22" cm="1">
        <f t="array" ref="N115">_xlfn.PERCENTILE.INC(($N$16/1000000)*$I$3:$I$523+M115*$J$3:$J$523,0.99)</f>
        <v>20297.926748991842</v>
      </c>
    </row>
    <row r="116" spans="1:14" x14ac:dyDescent="0.2">
      <c r="A116" s="19">
        <v>45726</v>
      </c>
      <c r="B116" s="15">
        <v>3.8849999999999998</v>
      </c>
      <c r="C116" s="15">
        <v>4.2149999999999999</v>
      </c>
      <c r="D116" s="16">
        <v>-11.600000000000055</v>
      </c>
      <c r="E116" s="16">
        <v>-8.8000000000000078</v>
      </c>
      <c r="F116" s="16">
        <f t="shared" si="7"/>
        <v>1</v>
      </c>
      <c r="G116" s="16">
        <f t="shared" si="8"/>
        <v>1</v>
      </c>
      <c r="H116" s="16">
        <f t="shared" si="9"/>
        <v>1</v>
      </c>
      <c r="I116" s="22">
        <f t="shared" si="10"/>
        <v>-2181.5000646400099</v>
      </c>
      <c r="J116" s="22">
        <f t="shared" si="11"/>
        <v>-6522.9070790400065</v>
      </c>
      <c r="K116" s="22">
        <f t="shared" si="12"/>
        <v>-57614.168866722466</v>
      </c>
      <c r="M116" s="22">
        <f t="shared" si="13"/>
        <v>-3.4000000000000163</v>
      </c>
      <c r="N116" s="22" cm="1">
        <f t="array" ref="N116">_xlfn.PERCENTILE.INC(($N$16/1000000)*$I$3:$I$523+M116*$J$3:$J$523,0.99)</f>
        <v>20239.565395186743</v>
      </c>
    </row>
    <row r="117" spans="1:14" x14ac:dyDescent="0.2">
      <c r="A117" s="19">
        <v>45727</v>
      </c>
      <c r="B117" s="15">
        <v>3.9449999999999998</v>
      </c>
      <c r="C117" s="15">
        <v>4.2809999999999997</v>
      </c>
      <c r="D117" s="16">
        <v>6.0000000000000053</v>
      </c>
      <c r="E117" s="16">
        <v>6.5999999999999837</v>
      </c>
      <c r="F117" s="16">
        <f t="shared" si="7"/>
        <v>1</v>
      </c>
      <c r="G117" s="16">
        <f t="shared" si="8"/>
        <v>1</v>
      </c>
      <c r="H117" s="16">
        <f t="shared" si="9"/>
        <v>1</v>
      </c>
      <c r="I117" s="22">
        <f t="shared" si="10"/>
        <v>1125.9920160000011</v>
      </c>
      <c r="J117" s="22">
        <f t="shared" si="11"/>
        <v>4857.0747680399882</v>
      </c>
      <c r="K117" s="22">
        <f t="shared" si="12"/>
        <v>35424.667047868679</v>
      </c>
      <c r="M117" s="22">
        <f t="shared" si="13"/>
        <v>-3.3500000000000165</v>
      </c>
      <c r="N117" s="22" cm="1">
        <f t="array" ref="N117">_xlfn.PERCENTILE.INC(($N$16/1000000)*$I$3:$I$523+M117*$J$3:$J$523,0.99)</f>
        <v>20181.204041381647</v>
      </c>
    </row>
    <row r="118" spans="1:14" x14ac:dyDescent="0.2">
      <c r="A118" s="19">
        <v>45728</v>
      </c>
      <c r="B118" s="15">
        <v>3.99</v>
      </c>
      <c r="C118" s="15">
        <v>4.3129999999999997</v>
      </c>
      <c r="D118" s="16">
        <v>4.5000000000000373</v>
      </c>
      <c r="E118" s="16">
        <v>3.2000000000000028</v>
      </c>
      <c r="F118" s="16">
        <f t="shared" si="7"/>
        <v>0</v>
      </c>
      <c r="G118" s="16">
        <f t="shared" si="8"/>
        <v>0</v>
      </c>
      <c r="H118" s="16">
        <f t="shared" si="9"/>
        <v>0</v>
      </c>
      <c r="I118" s="22">
        <f t="shared" si="10"/>
        <v>844.645509000007</v>
      </c>
      <c r="J118" s="22">
        <f t="shared" si="11"/>
        <v>2358.7031961600023</v>
      </c>
      <c r="K118" s="22">
        <f t="shared" si="12"/>
        <v>21670.586053562452</v>
      </c>
      <c r="M118" s="22">
        <f t="shared" si="13"/>
        <v>-3.3000000000000167</v>
      </c>
      <c r="N118" s="22" cm="1">
        <f t="array" ref="N118">_xlfn.PERCENTILE.INC(($N$16/1000000)*$I$3:$I$523+M118*$J$3:$J$523,0.99)</f>
        <v>20122.842687576544</v>
      </c>
    </row>
    <row r="119" spans="1:14" x14ac:dyDescent="0.2">
      <c r="A119" s="19">
        <v>45729</v>
      </c>
      <c r="B119" s="15">
        <v>3.9590000000000001</v>
      </c>
      <c r="C119" s="15">
        <v>4.2699999999999996</v>
      </c>
      <c r="D119" s="16">
        <v>-3.1000000000000139</v>
      </c>
      <c r="E119" s="16">
        <v>-4.3000000000000149</v>
      </c>
      <c r="F119" s="16">
        <f t="shared" si="7"/>
        <v>0</v>
      </c>
      <c r="G119" s="16">
        <f t="shared" si="8"/>
        <v>0</v>
      </c>
      <c r="H119" s="16">
        <f t="shared" si="9"/>
        <v>0</v>
      </c>
      <c r="I119" s="22">
        <f t="shared" si="10"/>
        <v>-582.39568684000255</v>
      </c>
      <c r="J119" s="22">
        <f t="shared" si="11"/>
        <v>-3180.6462795900111</v>
      </c>
      <c r="K119" s="22">
        <f t="shared" si="12"/>
        <v>-20873.405594668664</v>
      </c>
      <c r="M119" s="22">
        <f t="shared" si="13"/>
        <v>-3.2500000000000169</v>
      </c>
      <c r="N119" s="22" cm="1">
        <f t="array" ref="N119">_xlfn.PERCENTILE.INC(($N$16/1000000)*$I$3:$I$523+M119*$J$3:$J$523,0.99)</f>
        <v>20064.481333771448</v>
      </c>
    </row>
    <row r="120" spans="1:14" x14ac:dyDescent="0.2">
      <c r="A120" s="19">
        <v>45730</v>
      </c>
      <c r="B120" s="15">
        <v>4.0179999999999998</v>
      </c>
      <c r="C120" s="15">
        <v>4.3140000000000001</v>
      </c>
      <c r="D120" s="16">
        <v>5.8999999999999719</v>
      </c>
      <c r="E120" s="16">
        <v>4.4000000000000483</v>
      </c>
      <c r="F120" s="16">
        <f t="shared" si="7"/>
        <v>1</v>
      </c>
      <c r="G120" s="16">
        <f t="shared" si="8"/>
        <v>0</v>
      </c>
      <c r="H120" s="16">
        <f t="shared" si="9"/>
        <v>0</v>
      </c>
      <c r="I120" s="22">
        <f t="shared" si="10"/>
        <v>1107.2387243599946</v>
      </c>
      <c r="J120" s="22">
        <f t="shared" si="11"/>
        <v>3241.3932302400353</v>
      </c>
      <c r="K120" s="22">
        <f t="shared" si="12"/>
        <v>28977.863891119479</v>
      </c>
      <c r="M120" s="22">
        <f t="shared" si="13"/>
        <v>-3.2000000000000171</v>
      </c>
      <c r="N120" s="22" cm="1">
        <f t="array" ref="N120">_xlfn.PERCENTILE.INC(($N$16/1000000)*$I$3:$I$523+M120*$J$3:$J$523,0.99)</f>
        <v>20006.119979966348</v>
      </c>
    </row>
    <row r="121" spans="1:14" x14ac:dyDescent="0.2">
      <c r="A121" s="19">
        <v>45733</v>
      </c>
      <c r="B121" s="15">
        <v>4.0460000000000003</v>
      </c>
      <c r="C121" s="15">
        <v>4.3</v>
      </c>
      <c r="D121" s="16">
        <v>2.8000000000000469</v>
      </c>
      <c r="E121" s="16">
        <v>-1.4000000000000234</v>
      </c>
      <c r="F121" s="16">
        <f t="shared" si="7"/>
        <v>0</v>
      </c>
      <c r="G121" s="16">
        <f t="shared" si="8"/>
        <v>0</v>
      </c>
      <c r="H121" s="16">
        <f t="shared" si="9"/>
        <v>0</v>
      </c>
      <c r="I121" s="22">
        <f t="shared" si="10"/>
        <v>525.66403904000879</v>
      </c>
      <c r="J121" s="22">
        <f t="shared" si="11"/>
        <v>-1034.1569663600173</v>
      </c>
      <c r="K121" s="22">
        <f t="shared" si="12"/>
        <v>3938.5772555592639</v>
      </c>
      <c r="M121" s="22">
        <f t="shared" si="13"/>
        <v>-3.1500000000000172</v>
      </c>
      <c r="N121" s="22" cm="1">
        <f t="array" ref="N121">_xlfn.PERCENTILE.INC(($N$16/1000000)*$I$3:$I$523+M121*$J$3:$J$523,0.99)</f>
        <v>19947.758626161249</v>
      </c>
    </row>
    <row r="122" spans="1:14" x14ac:dyDescent="0.2">
      <c r="A122" s="19">
        <v>45734</v>
      </c>
      <c r="B122" s="15">
        <v>4.0419999999999998</v>
      </c>
      <c r="C122" s="15">
        <v>4.2850000000000001</v>
      </c>
      <c r="D122" s="16">
        <v>-0.40000000000004476</v>
      </c>
      <c r="E122" s="16">
        <v>-1.499999999999968</v>
      </c>
      <c r="F122" s="16">
        <f t="shared" si="7"/>
        <v>0</v>
      </c>
      <c r="G122" s="16">
        <f t="shared" si="8"/>
        <v>0</v>
      </c>
      <c r="H122" s="16">
        <f t="shared" si="9"/>
        <v>0</v>
      </c>
      <c r="I122" s="22">
        <f t="shared" si="10"/>
        <v>-75.123591040008392</v>
      </c>
      <c r="J122" s="22">
        <f t="shared" si="11"/>
        <v>-1108.0771297499762</v>
      </c>
      <c r="K122" s="22">
        <f t="shared" si="12"/>
        <v>-5355.3194230448325</v>
      </c>
      <c r="M122" s="22">
        <f t="shared" si="13"/>
        <v>-3.1000000000000174</v>
      </c>
      <c r="N122" s="22" cm="1">
        <f t="array" ref="N122">_xlfn.PERCENTILE.INC(($N$16/1000000)*$I$3:$I$523+M122*$J$3:$J$523,0.99)</f>
        <v>19889.397272356149</v>
      </c>
    </row>
    <row r="123" spans="1:14" x14ac:dyDescent="0.2">
      <c r="A123" s="19">
        <v>45735</v>
      </c>
      <c r="B123" s="15">
        <v>3.9740000000000002</v>
      </c>
      <c r="C123" s="15">
        <v>4.2439999999999998</v>
      </c>
      <c r="D123" s="16">
        <v>-6.7999999999999616</v>
      </c>
      <c r="E123" s="16">
        <v>-4.1000000000000369</v>
      </c>
      <c r="F123" s="16">
        <f t="shared" si="7"/>
        <v>1</v>
      </c>
      <c r="G123" s="16">
        <f t="shared" si="8"/>
        <v>0</v>
      </c>
      <c r="H123" s="16">
        <f t="shared" si="9"/>
        <v>0</v>
      </c>
      <c r="I123" s="22">
        <f t="shared" si="10"/>
        <v>-1278.0778105599927</v>
      </c>
      <c r="J123" s="22">
        <f t="shared" si="11"/>
        <v>-3032.4260227100267</v>
      </c>
      <c r="K123" s="22">
        <f t="shared" si="12"/>
        <v>-30743.023167576459</v>
      </c>
      <c r="M123" s="22">
        <f t="shared" si="13"/>
        <v>-3.0500000000000176</v>
      </c>
      <c r="N123" s="22" cm="1">
        <f t="array" ref="N123">_xlfn.PERCENTILE.INC(($N$16/1000000)*$I$3:$I$523+M123*$J$3:$J$523,0.99)</f>
        <v>19831.035918551053</v>
      </c>
    </row>
    <row r="124" spans="1:14" x14ac:dyDescent="0.2">
      <c r="A124" s="19">
        <v>45736</v>
      </c>
      <c r="B124" s="15">
        <v>3.9649999999999999</v>
      </c>
      <c r="C124" s="15">
        <v>4.2389999999999999</v>
      </c>
      <c r="D124" s="16">
        <v>-0.90000000000003411</v>
      </c>
      <c r="E124" s="16">
        <v>-0.49999999999998934</v>
      </c>
      <c r="F124" s="16">
        <f t="shared" si="7"/>
        <v>0</v>
      </c>
      <c r="G124" s="16">
        <f t="shared" si="8"/>
        <v>0</v>
      </c>
      <c r="H124" s="16">
        <f t="shared" si="9"/>
        <v>0</v>
      </c>
      <c r="I124" s="22">
        <f t="shared" si="10"/>
        <v>-169.03817964000638</v>
      </c>
      <c r="J124" s="22">
        <f t="shared" si="11"/>
        <v>-369.18634774999214</v>
      </c>
      <c r="K124" s="22">
        <f t="shared" si="12"/>
        <v>-3944.4022009828204</v>
      </c>
      <c r="M124" s="22">
        <f t="shared" si="13"/>
        <v>-3.0000000000000178</v>
      </c>
      <c r="N124" s="22" cm="1">
        <f t="array" ref="N124">_xlfn.PERCENTILE.INC(($N$16/1000000)*$I$3:$I$523+M124*$J$3:$J$523,0.99)</f>
        <v>19772.67456474595</v>
      </c>
    </row>
    <row r="125" spans="1:14" x14ac:dyDescent="0.2">
      <c r="A125" s="19">
        <v>45737</v>
      </c>
      <c r="B125" s="15">
        <v>3.95</v>
      </c>
      <c r="C125" s="15">
        <v>4.2480000000000002</v>
      </c>
      <c r="D125" s="16">
        <v>-1.499999999999968</v>
      </c>
      <c r="E125" s="16">
        <v>0.90000000000003411</v>
      </c>
      <c r="F125" s="16">
        <f t="shared" si="7"/>
        <v>0</v>
      </c>
      <c r="G125" s="16">
        <f t="shared" si="8"/>
        <v>0</v>
      </c>
      <c r="H125" s="16">
        <f t="shared" si="9"/>
        <v>0</v>
      </c>
      <c r="I125" s="22">
        <f t="shared" si="10"/>
        <v>-281.75049899999397</v>
      </c>
      <c r="J125" s="22">
        <f t="shared" si="11"/>
        <v>664.10023329002502</v>
      </c>
      <c r="K125" s="22">
        <f t="shared" si="12"/>
        <v>-1692.0250856799412</v>
      </c>
      <c r="M125" s="22">
        <f t="shared" si="13"/>
        <v>-2.9500000000000179</v>
      </c>
      <c r="N125" s="22" cm="1">
        <f t="array" ref="N125">_xlfn.PERCENTILE.INC(($N$16/1000000)*$I$3:$I$523+M125*$J$3:$J$523,0.99)</f>
        <v>19714.313210940854</v>
      </c>
    </row>
    <row r="126" spans="1:14" x14ac:dyDescent="0.2">
      <c r="A126" s="19">
        <v>45740</v>
      </c>
      <c r="B126" s="15">
        <v>4.0369999999999999</v>
      </c>
      <c r="C126" s="15">
        <v>4.3369999999999997</v>
      </c>
      <c r="D126" s="16">
        <v>8.6999999999999744</v>
      </c>
      <c r="E126" s="16">
        <v>8.8999999999999524</v>
      </c>
      <c r="F126" s="16">
        <f t="shared" si="7"/>
        <v>1</v>
      </c>
      <c r="G126" s="16">
        <f t="shared" si="8"/>
        <v>1</v>
      </c>
      <c r="H126" s="16">
        <f t="shared" si="9"/>
        <v>1</v>
      </c>
      <c r="I126" s="22">
        <f t="shared" si="10"/>
        <v>1632.1612136399951</v>
      </c>
      <c r="J126" s="22">
        <f t="shared" si="11"/>
        <v>6542.6215788899644</v>
      </c>
      <c r="K126" s="22">
        <f t="shared" si="12"/>
        <v>49449.317402287583</v>
      </c>
      <c r="M126" s="22">
        <f t="shared" si="13"/>
        <v>-2.9000000000000181</v>
      </c>
      <c r="N126" s="22" cm="1">
        <f t="array" ref="N126">_xlfn.PERCENTILE.INC(($N$16/1000000)*$I$3:$I$523+M126*$J$3:$J$523,0.99)</f>
        <v>19655.951857135755</v>
      </c>
    </row>
    <row r="127" spans="1:14" x14ac:dyDescent="0.2">
      <c r="A127" s="19">
        <v>45741</v>
      </c>
      <c r="B127" s="15">
        <v>4.0170000000000003</v>
      </c>
      <c r="C127" s="15">
        <v>4.3140000000000001</v>
      </c>
      <c r="D127" s="16">
        <v>-1.9999999999999574</v>
      </c>
      <c r="E127" s="16">
        <v>-2.2999999999999687</v>
      </c>
      <c r="F127" s="16">
        <f t="shared" si="7"/>
        <v>0</v>
      </c>
      <c r="G127" s="16">
        <f t="shared" si="8"/>
        <v>0</v>
      </c>
      <c r="H127" s="16">
        <f t="shared" si="9"/>
        <v>0</v>
      </c>
      <c r="I127" s="22">
        <f t="shared" si="10"/>
        <v>-375.68977599999198</v>
      </c>
      <c r="J127" s="22">
        <f t="shared" si="11"/>
        <v>-1699.6871183899766</v>
      </c>
      <c r="K127" s="22">
        <f t="shared" si="12"/>
        <v>-12121.418995058893</v>
      </c>
      <c r="M127" s="22">
        <f t="shared" si="13"/>
        <v>-2.8500000000000183</v>
      </c>
      <c r="N127" s="22" cm="1">
        <f t="array" ref="N127">_xlfn.PERCENTILE.INC(($N$16/1000000)*$I$3:$I$523+M127*$J$3:$J$523,0.99)</f>
        <v>19597.590503330655</v>
      </c>
    </row>
    <row r="128" spans="1:14" x14ac:dyDescent="0.2">
      <c r="A128" s="19">
        <v>45742</v>
      </c>
      <c r="B128" s="15">
        <v>4.0190000000000001</v>
      </c>
      <c r="C128" s="15">
        <v>4.3529999999999998</v>
      </c>
      <c r="D128" s="16">
        <v>0.19999999999997797</v>
      </c>
      <c r="E128" s="16">
        <v>3.8999999999999702</v>
      </c>
      <c r="F128" s="16">
        <f t="shared" si="7"/>
        <v>0</v>
      </c>
      <c r="G128" s="16">
        <f t="shared" si="8"/>
        <v>0</v>
      </c>
      <c r="H128" s="16">
        <f t="shared" si="9"/>
        <v>0</v>
      </c>
      <c r="I128" s="22">
        <f t="shared" si="10"/>
        <v>37.559102239995866</v>
      </c>
      <c r="J128" s="22">
        <f t="shared" si="11"/>
        <v>2873.7266028899776</v>
      </c>
      <c r="K128" s="22">
        <f t="shared" si="12"/>
        <v>11529.639365273017</v>
      </c>
      <c r="M128" s="22">
        <f t="shared" si="13"/>
        <v>-2.8000000000000185</v>
      </c>
      <c r="N128" s="22" cm="1">
        <f t="array" ref="N128">_xlfn.PERCENTILE.INC(($N$16/1000000)*$I$3:$I$523+M128*$J$3:$J$523,0.99)</f>
        <v>19554.447127165586</v>
      </c>
    </row>
    <row r="129" spans="1:14" x14ac:dyDescent="0.2">
      <c r="A129" s="19">
        <v>45743</v>
      </c>
      <c r="B129" s="15">
        <v>3.9929999999999999</v>
      </c>
      <c r="C129" s="15">
        <v>4.3609999999999998</v>
      </c>
      <c r="D129" s="16">
        <v>-2.6000000000000245</v>
      </c>
      <c r="E129" s="16">
        <v>0.80000000000000071</v>
      </c>
      <c r="F129" s="16">
        <f t="shared" si="7"/>
        <v>0</v>
      </c>
      <c r="G129" s="16">
        <f t="shared" si="8"/>
        <v>0</v>
      </c>
      <c r="H129" s="16">
        <f t="shared" si="9"/>
        <v>0</v>
      </c>
      <c r="I129" s="22">
        <f t="shared" si="10"/>
        <v>-488.43172144000454</v>
      </c>
      <c r="J129" s="22">
        <f t="shared" si="11"/>
        <v>590.33894976000056</v>
      </c>
      <c r="K129" s="22">
        <f t="shared" si="12"/>
        <v>-5073.71935793992</v>
      </c>
      <c r="M129" s="22">
        <f t="shared" si="13"/>
        <v>-2.7500000000000187</v>
      </c>
      <c r="N129" s="22" cm="1">
        <f t="array" ref="N129">_xlfn.PERCENTILE.INC(($N$16/1000000)*$I$3:$I$523+M129*$J$3:$J$523,0.99)</f>
        <v>19532.975049900495</v>
      </c>
    </row>
    <row r="130" spans="1:14" x14ac:dyDescent="0.2">
      <c r="A130" s="19">
        <v>45744</v>
      </c>
      <c r="B130" s="15">
        <v>3.9129999999999998</v>
      </c>
      <c r="C130" s="15">
        <v>4.25</v>
      </c>
      <c r="D130" s="16">
        <v>-8.0000000000000071</v>
      </c>
      <c r="E130" s="16">
        <v>-11.099999999999977</v>
      </c>
      <c r="F130" s="16">
        <f t="shared" si="7"/>
        <v>1</v>
      </c>
      <c r="G130" s="16">
        <f t="shared" si="8"/>
        <v>1</v>
      </c>
      <c r="H130" s="16">
        <f t="shared" si="9"/>
        <v>1</v>
      </c>
      <c r="I130" s="22">
        <f t="shared" si="10"/>
        <v>-1503.8364160000012</v>
      </c>
      <c r="J130" s="22">
        <f t="shared" si="11"/>
        <v>-8236.5756251099829</v>
      </c>
      <c r="K130" s="22">
        <f t="shared" si="12"/>
        <v>-53988.640165677098</v>
      </c>
      <c r="M130" s="22">
        <f t="shared" si="13"/>
        <v>-2.7000000000000188</v>
      </c>
      <c r="N130" s="22" cm="1">
        <f t="array" ref="N130">_xlfn.PERCENTILE.INC(($N$16/1000000)*$I$3:$I$523+M130*$J$3:$J$523,0.99)</f>
        <v>19561.333497657495</v>
      </c>
    </row>
    <row r="131" spans="1:14" x14ac:dyDescent="0.2">
      <c r="A131" s="19">
        <v>45747</v>
      </c>
      <c r="B131" s="15">
        <v>3.8849999999999998</v>
      </c>
      <c r="C131" s="15">
        <v>4.2069999999999999</v>
      </c>
      <c r="D131" s="16">
        <v>-2.8000000000000025</v>
      </c>
      <c r="E131" s="16">
        <v>-4.3000000000000149</v>
      </c>
      <c r="F131" s="16">
        <f t="shared" si="7"/>
        <v>0</v>
      </c>
      <c r="G131" s="16">
        <f t="shared" si="8"/>
        <v>0</v>
      </c>
      <c r="H131" s="16">
        <f t="shared" si="9"/>
        <v>0</v>
      </c>
      <c r="I131" s="22">
        <f t="shared" si="10"/>
        <v>-526.01596096000048</v>
      </c>
      <c r="J131" s="22">
        <f t="shared" si="11"/>
        <v>-3180.6462795900111</v>
      </c>
      <c r="K131" s="22">
        <f t="shared" si="12"/>
        <v>-20027.709706468635</v>
      </c>
      <c r="M131" s="22">
        <f t="shared" si="13"/>
        <v>-2.650000000000019</v>
      </c>
      <c r="N131" s="22" cm="1">
        <f t="array" ref="N131">_xlfn.PERCENTILE.INC(($N$16/1000000)*$I$3:$I$523+M131*$J$3:$J$523,0.99)</f>
        <v>19791.271152299887</v>
      </c>
    </row>
    <row r="132" spans="1:14" x14ac:dyDescent="0.2">
      <c r="A132" s="19">
        <v>45748</v>
      </c>
      <c r="B132" s="15">
        <v>3.883</v>
      </c>
      <c r="C132" s="15">
        <v>4.17</v>
      </c>
      <c r="D132" s="16">
        <v>-0.19999999999997797</v>
      </c>
      <c r="E132" s="16">
        <v>-3.6999999999999922</v>
      </c>
      <c r="F132" s="16">
        <f t="shared" ref="F132:F195" si="14">IF(ABS(D132-$N$2)&gt;$N$3,1,0)</f>
        <v>0</v>
      </c>
      <c r="G132" s="16">
        <f t="shared" ref="G132:G195" si="15">IF(ABS(E132-$O$2)&gt;$O$3,1,0)</f>
        <v>0</v>
      </c>
      <c r="H132" s="16">
        <f t="shared" ref="H132:H195" si="16">IF(AND(F132=1,G132=1),1,0)</f>
        <v>0</v>
      </c>
      <c r="I132" s="22">
        <f t="shared" ref="I132:I195" si="17">(1000000/100)*($N$11*D132/100-0.5*$N$19*(D132/100)^2)</f>
        <v>-37.560897759995861</v>
      </c>
      <c r="J132" s="22">
        <f t="shared" ref="J132:J195" si="18">(1000000/100)*($O$11*E132/100-0.5*$O$19*(E132/100)^2)</f>
        <v>-2736.0684027899947</v>
      </c>
      <c r="K132" s="22">
        <f t="shared" ref="K132:K195" si="19">($N$16/1000000)*I132+($O$16/1000000)*J132</f>
        <v>-11004.3572359196</v>
      </c>
      <c r="M132" s="22">
        <f t="shared" si="13"/>
        <v>-2.6000000000000192</v>
      </c>
      <c r="N132" s="22" cm="1">
        <f t="array" ref="N132">_xlfn.PERCENTILE.INC(($N$16/1000000)*$I$3:$I$523+M132*$J$3:$J$523,0.99)</f>
        <v>19819.918314801231</v>
      </c>
    </row>
    <row r="133" spans="1:14" x14ac:dyDescent="0.2">
      <c r="A133" s="19">
        <v>45749</v>
      </c>
      <c r="B133" s="15">
        <v>3.863</v>
      </c>
      <c r="C133" s="15">
        <v>4.133</v>
      </c>
      <c r="D133" s="16">
        <v>-2.0000000000000018</v>
      </c>
      <c r="E133" s="16">
        <v>-3.6999999999999922</v>
      </c>
      <c r="F133" s="16">
        <f t="shared" si="14"/>
        <v>0</v>
      </c>
      <c r="G133" s="16">
        <f t="shared" si="15"/>
        <v>0</v>
      </c>
      <c r="H133" s="16">
        <f t="shared" si="16"/>
        <v>0</v>
      </c>
      <c r="I133" s="22">
        <f t="shared" si="17"/>
        <v>-375.68977600000034</v>
      </c>
      <c r="J133" s="22">
        <f t="shared" si="18"/>
        <v>-2736.0684027899947</v>
      </c>
      <c r="K133" s="22">
        <f t="shared" si="19"/>
        <v>-16076.290409519668</v>
      </c>
      <c r="M133" s="22">
        <f t="shared" si="13"/>
        <v>-2.5500000000000194</v>
      </c>
      <c r="N133" s="22" cm="1">
        <f t="array" ref="N133">_xlfn.PERCENTILE.INC(($N$16/1000000)*$I$3:$I$523+M133*$J$3:$J$523,0.99)</f>
        <v>19753.75925334575</v>
      </c>
    </row>
    <row r="134" spans="1:14" x14ac:dyDescent="0.2">
      <c r="A134" s="19">
        <v>45750</v>
      </c>
      <c r="B134" s="15">
        <v>3.6850000000000001</v>
      </c>
      <c r="C134" s="15">
        <v>4.03</v>
      </c>
      <c r="D134" s="16">
        <v>-17.799999999999994</v>
      </c>
      <c r="E134" s="16">
        <v>-10.299999999999976</v>
      </c>
      <c r="F134" s="16">
        <f t="shared" si="14"/>
        <v>1</v>
      </c>
      <c r="G134" s="16">
        <f t="shared" si="15"/>
        <v>1</v>
      </c>
      <c r="H134" s="16">
        <f t="shared" si="16"/>
        <v>1</v>
      </c>
      <c r="I134" s="22">
        <f t="shared" si="17"/>
        <v>-3349.9511569599995</v>
      </c>
      <c r="J134" s="22">
        <f t="shared" si="18"/>
        <v>-7640.1025311899803</v>
      </c>
      <c r="K134" s="22">
        <f t="shared" si="19"/>
        <v>-79404.196682985974</v>
      </c>
      <c r="M134" s="22">
        <f t="shared" si="13"/>
        <v>-2.5000000000000195</v>
      </c>
      <c r="N134" s="22" cm="1">
        <f t="array" ref="N134">_xlfn.PERCENTILE.INC(($N$16/1000000)*$I$3:$I$523+M134*$J$3:$J$523,0.99)</f>
        <v>19751.074308515144</v>
      </c>
    </row>
    <row r="135" spans="1:14" x14ac:dyDescent="0.2">
      <c r="A135" s="19">
        <v>45751</v>
      </c>
      <c r="B135" s="15">
        <v>3.6549999999999998</v>
      </c>
      <c r="C135" s="15">
        <v>3.9969999999999999</v>
      </c>
      <c r="D135" s="16">
        <v>-3.0000000000000249</v>
      </c>
      <c r="E135" s="16">
        <v>-3.3000000000000362</v>
      </c>
      <c r="F135" s="16">
        <f t="shared" si="14"/>
        <v>0</v>
      </c>
      <c r="G135" s="16">
        <f t="shared" si="15"/>
        <v>0</v>
      </c>
      <c r="H135" s="16">
        <f t="shared" si="16"/>
        <v>0</v>
      </c>
      <c r="I135" s="22">
        <f t="shared" si="17"/>
        <v>-563.60199600000465</v>
      </c>
      <c r="J135" s="22">
        <f t="shared" si="18"/>
        <v>-2439.821307990027</v>
      </c>
      <c r="K135" s="22">
        <f t="shared" si="19"/>
        <v>-17764.483238032997</v>
      </c>
      <c r="M135" s="22">
        <f t="shared" si="13"/>
        <v>-2.4500000000000197</v>
      </c>
      <c r="N135" s="22" cm="1">
        <f t="array" ref="N135">_xlfn.PERCENTILE.INC(($N$16/1000000)*$I$3:$I$523+M135*$J$3:$J$523,0.99)</f>
        <v>19956.033295640034</v>
      </c>
    </row>
    <row r="136" spans="1:14" x14ac:dyDescent="0.2">
      <c r="A136" s="19">
        <v>45754</v>
      </c>
      <c r="B136" s="15">
        <v>3.766</v>
      </c>
      <c r="C136" s="15">
        <v>4.1859999999999999</v>
      </c>
      <c r="D136" s="16">
        <v>11.100000000000021</v>
      </c>
      <c r="E136" s="16">
        <v>18.900000000000006</v>
      </c>
      <c r="F136" s="16">
        <f t="shared" si="14"/>
        <v>1</v>
      </c>
      <c r="G136" s="16">
        <f t="shared" si="15"/>
        <v>1</v>
      </c>
      <c r="H136" s="16">
        <f t="shared" si="16"/>
        <v>1</v>
      </c>
      <c r="I136" s="22">
        <f t="shared" si="17"/>
        <v>2081.814674760004</v>
      </c>
      <c r="J136" s="22">
        <f t="shared" si="18"/>
        <v>13828.602880890005</v>
      </c>
      <c r="K136" s="22">
        <f t="shared" si="19"/>
        <v>83997.708221463923</v>
      </c>
      <c r="M136" s="22">
        <f t="shared" si="13"/>
        <v>-2.4000000000000199</v>
      </c>
      <c r="N136" s="22" cm="1">
        <f t="array" ref="N136">_xlfn.PERCENTILE.INC(($N$16/1000000)*$I$3:$I$523+M136*$J$3:$J$523,0.99)</f>
        <v>20184.903337204923</v>
      </c>
    </row>
    <row r="137" spans="1:14" x14ac:dyDescent="0.2">
      <c r="A137" s="19">
        <v>45755</v>
      </c>
      <c r="B137" s="15">
        <v>3.7290000000000001</v>
      </c>
      <c r="C137" s="15">
        <v>4.2949999999999999</v>
      </c>
      <c r="D137" s="16">
        <v>-3.6999999999999922</v>
      </c>
      <c r="E137" s="16">
        <v>10.899999999999999</v>
      </c>
      <c r="F137" s="16">
        <f t="shared" si="14"/>
        <v>0</v>
      </c>
      <c r="G137" s="16">
        <f t="shared" si="15"/>
        <v>1</v>
      </c>
      <c r="H137" s="16">
        <f t="shared" si="16"/>
        <v>0</v>
      </c>
      <c r="I137" s="22">
        <f t="shared" si="17"/>
        <v>-695.16725835999853</v>
      </c>
      <c r="J137" s="22">
        <f t="shared" si="18"/>
        <v>8005.34409529</v>
      </c>
      <c r="K137" s="22">
        <f t="shared" si="19"/>
        <v>20121.196511259368</v>
      </c>
      <c r="M137" s="22">
        <f t="shared" si="13"/>
        <v>-2.3500000000000201</v>
      </c>
      <c r="N137" s="22" cm="1">
        <f t="array" ref="N137">_xlfn.PERCENTILE.INC(($N$16/1000000)*$I$3:$I$523+M137*$J$3:$J$523,0.99)</f>
        <v>20413.773378769816</v>
      </c>
    </row>
    <row r="138" spans="1:14" x14ac:dyDescent="0.2">
      <c r="A138" s="19">
        <v>45756</v>
      </c>
      <c r="B138" s="15">
        <v>3.911</v>
      </c>
      <c r="C138" s="15">
        <v>4.3360000000000003</v>
      </c>
      <c r="D138" s="16">
        <v>18.199999999999996</v>
      </c>
      <c r="E138" s="16">
        <v>4.1000000000000369</v>
      </c>
      <c r="F138" s="16">
        <f t="shared" si="14"/>
        <v>1</v>
      </c>
      <c r="G138" s="16">
        <f t="shared" si="15"/>
        <v>0</v>
      </c>
      <c r="H138" s="16">
        <f t="shared" si="16"/>
        <v>0</v>
      </c>
      <c r="I138" s="22">
        <f t="shared" si="17"/>
        <v>3410.5256494399991</v>
      </c>
      <c r="J138" s="22">
        <f t="shared" si="18"/>
        <v>3020.8139772900272</v>
      </c>
      <c r="K138" s="22">
        <f t="shared" si="19"/>
        <v>62685.428732423621</v>
      </c>
      <c r="M138" s="22">
        <f t="shared" si="13"/>
        <v>-2.3000000000000203</v>
      </c>
      <c r="N138" s="22" cm="1">
        <f t="array" ref="N138">_xlfn.PERCENTILE.INC(($N$16/1000000)*$I$3:$I$523+M138*$J$3:$J$523,0.99)</f>
        <v>20642.643420334705</v>
      </c>
    </row>
    <row r="139" spans="1:14" x14ac:dyDescent="0.2">
      <c r="A139" s="19">
        <v>45757</v>
      </c>
      <c r="B139" s="15">
        <v>3.8660000000000001</v>
      </c>
      <c r="C139" s="15">
        <v>4.4279999999999999</v>
      </c>
      <c r="D139" s="16">
        <v>-4.4999999999999929</v>
      </c>
      <c r="E139" s="16">
        <v>9.1999999999999638</v>
      </c>
      <c r="F139" s="16">
        <f t="shared" si="14"/>
        <v>0</v>
      </c>
      <c r="G139" s="16">
        <f t="shared" si="15"/>
        <v>1</v>
      </c>
      <c r="H139" s="16">
        <f t="shared" si="16"/>
        <v>0</v>
      </c>
      <c r="I139" s="22">
        <f t="shared" si="17"/>
        <v>-845.55449099999862</v>
      </c>
      <c r="J139" s="22">
        <f t="shared" si="18"/>
        <v>6762.206105759974</v>
      </c>
      <c r="K139" s="22">
        <f t="shared" si="19"/>
        <v>13121.52495405427</v>
      </c>
      <c r="M139" s="22">
        <f t="shared" si="13"/>
        <v>-2.2500000000000204</v>
      </c>
      <c r="N139" s="22" cm="1">
        <f t="array" ref="N139">_xlfn.PERCENTILE.INC(($N$16/1000000)*$I$3:$I$523+M139*$J$3:$J$523,0.99)</f>
        <v>20871.513461899598</v>
      </c>
    </row>
    <row r="140" spans="1:14" x14ac:dyDescent="0.2">
      <c r="A140" s="19">
        <v>45758</v>
      </c>
      <c r="B140" s="15">
        <v>3.9630000000000001</v>
      </c>
      <c r="C140" s="15">
        <v>4.492</v>
      </c>
      <c r="D140" s="16">
        <v>9.6999999999999975</v>
      </c>
      <c r="E140" s="16">
        <v>6.4000000000000057</v>
      </c>
      <c r="F140" s="16">
        <f t="shared" si="14"/>
        <v>1</v>
      </c>
      <c r="G140" s="16">
        <f t="shared" si="15"/>
        <v>1</v>
      </c>
      <c r="H140" s="16">
        <f t="shared" si="16"/>
        <v>1</v>
      </c>
      <c r="I140" s="22">
        <f t="shared" si="17"/>
        <v>1819.5482440399994</v>
      </c>
      <c r="J140" s="22">
        <f t="shared" si="18"/>
        <v>4710.3327846400043</v>
      </c>
      <c r="K140" s="22">
        <f t="shared" si="19"/>
        <v>45268.037334849367</v>
      </c>
      <c r="M140" s="22">
        <f t="shared" si="13"/>
        <v>-2.2000000000000206</v>
      </c>
      <c r="N140" s="22" cm="1">
        <f t="array" ref="N140">_xlfn.PERCENTILE.INC(($N$16/1000000)*$I$3:$I$523+M140*$J$3:$J$523,0.99)</f>
        <v>21105.526511080054</v>
      </c>
    </row>
    <row r="141" spans="1:14" x14ac:dyDescent="0.2">
      <c r="A141" s="19">
        <v>45761</v>
      </c>
      <c r="B141" s="15">
        <v>3.847</v>
      </c>
      <c r="C141" s="15">
        <v>4.3760000000000003</v>
      </c>
      <c r="D141" s="16">
        <v>-11.60000000000001</v>
      </c>
      <c r="E141" s="16">
        <v>-11.599999999999966</v>
      </c>
      <c r="F141" s="16">
        <f t="shared" si="14"/>
        <v>1</v>
      </c>
      <c r="G141" s="16">
        <f t="shared" si="15"/>
        <v>1</v>
      </c>
      <c r="H141" s="16">
        <f t="shared" si="16"/>
        <v>1</v>
      </c>
      <c r="I141" s="22">
        <f t="shared" si="17"/>
        <v>-2181.5000646400017</v>
      </c>
      <c r="J141" s="22">
        <f t="shared" si="18"/>
        <v>-8609.5958129599749</v>
      </c>
      <c r="K141" s="22">
        <f t="shared" si="19"/>
        <v>-65577.054485054163</v>
      </c>
      <c r="M141" s="22">
        <f t="shared" si="13"/>
        <v>-2.1500000000000208</v>
      </c>
      <c r="N141" s="22" cm="1">
        <f t="array" ref="N141">_xlfn.PERCENTILE.INC(($N$16/1000000)*$I$3:$I$523+M141*$J$3:$J$523,0.99)</f>
        <v>21377.703778010055</v>
      </c>
    </row>
    <row r="142" spans="1:14" x14ac:dyDescent="0.2">
      <c r="A142" s="19">
        <v>45762</v>
      </c>
      <c r="B142" s="15">
        <v>3.8479999999999999</v>
      </c>
      <c r="C142" s="15">
        <v>4.3360000000000003</v>
      </c>
      <c r="D142" s="16">
        <v>9.9999999999988987E-2</v>
      </c>
      <c r="E142" s="16">
        <v>-4.0000000000000036</v>
      </c>
      <c r="F142" s="16">
        <f t="shared" si="14"/>
        <v>0</v>
      </c>
      <c r="G142" s="16">
        <f t="shared" si="15"/>
        <v>0</v>
      </c>
      <c r="H142" s="16">
        <f t="shared" si="16"/>
        <v>0</v>
      </c>
      <c r="I142" s="22">
        <f t="shared" si="17"/>
        <v>18.779775559997933</v>
      </c>
      <c r="J142" s="22">
        <f t="shared" si="18"/>
        <v>-2958.3262560000021</v>
      </c>
      <c r="K142" s="22">
        <f t="shared" si="19"/>
        <v>-11007.391775096379</v>
      </c>
      <c r="M142" s="22">
        <f t="shared" si="13"/>
        <v>-2.100000000000021</v>
      </c>
      <c r="N142" s="22" cm="1">
        <f t="array" ref="N142">_xlfn.PERCENTILE.INC(($N$16/1000000)*$I$3:$I$523+M142*$J$3:$J$523,0.99)</f>
        <v>21649.881044940055</v>
      </c>
    </row>
    <row r="143" spans="1:14" x14ac:dyDescent="0.2">
      <c r="A143" s="19">
        <v>45763</v>
      </c>
      <c r="B143" s="15">
        <v>3.7719999999999998</v>
      </c>
      <c r="C143" s="15">
        <v>4.2789999999999999</v>
      </c>
      <c r="D143" s="16">
        <v>-7.6000000000000068</v>
      </c>
      <c r="E143" s="16">
        <v>-5.7000000000000384</v>
      </c>
      <c r="F143" s="16">
        <f t="shared" si="14"/>
        <v>1</v>
      </c>
      <c r="G143" s="16">
        <f t="shared" si="15"/>
        <v>1</v>
      </c>
      <c r="H143" s="16">
        <f t="shared" si="16"/>
        <v>1</v>
      </c>
      <c r="I143" s="22">
        <f t="shared" si="17"/>
        <v>-1428.5763654400014</v>
      </c>
      <c r="J143" s="22">
        <f t="shared" si="18"/>
        <v>-4218.9617535900279</v>
      </c>
      <c r="K143" s="22">
        <f t="shared" si="19"/>
        <v>-37528.368131103009</v>
      </c>
      <c r="M143" s="22">
        <f t="shared" si="13"/>
        <v>-2.0500000000000211</v>
      </c>
      <c r="N143" s="22" cm="1">
        <f t="array" ref="N143">_xlfn.PERCENTILE.INC(($N$16/1000000)*$I$3:$I$523+M143*$J$3:$J$523,0.99)</f>
        <v>21922.058311870056</v>
      </c>
    </row>
    <row r="144" spans="1:14" x14ac:dyDescent="0.2">
      <c r="A144" s="19">
        <v>45764</v>
      </c>
      <c r="B144" s="15">
        <v>3.8</v>
      </c>
      <c r="C144" s="15">
        <v>4.3259999999999996</v>
      </c>
      <c r="D144" s="16">
        <v>2.8000000000000025</v>
      </c>
      <c r="E144" s="16">
        <v>4.6999999999999709</v>
      </c>
      <c r="F144" s="16">
        <f t="shared" si="14"/>
        <v>0</v>
      </c>
      <c r="G144" s="16">
        <f t="shared" si="15"/>
        <v>0</v>
      </c>
      <c r="H144" s="16">
        <f t="shared" si="16"/>
        <v>0</v>
      </c>
      <c r="I144" s="22">
        <f t="shared" si="17"/>
        <v>525.66403904000049</v>
      </c>
      <c r="J144" s="22">
        <f t="shared" si="18"/>
        <v>3461.9103128099787</v>
      </c>
      <c r="K144" s="22">
        <f t="shared" si="19"/>
        <v>21095.745401619664</v>
      </c>
      <c r="M144" s="22">
        <f t="shared" si="13"/>
        <v>-2.0000000000000213</v>
      </c>
      <c r="N144" s="22" cm="1">
        <f t="array" ref="N144">_xlfn.PERCENTILE.INC(($N$16/1000000)*$I$3:$I$523+M144*$J$3:$J$523,0.99)</f>
        <v>22194.235578800057</v>
      </c>
    </row>
    <row r="145" spans="1:14" x14ac:dyDescent="0.2">
      <c r="A145" s="19">
        <v>45765</v>
      </c>
      <c r="B145" s="15">
        <v>3.8</v>
      </c>
      <c r="C145" s="15">
        <v>4.3259999999999996</v>
      </c>
      <c r="D145" s="16">
        <v>0</v>
      </c>
      <c r="E145" s="16">
        <v>0</v>
      </c>
      <c r="F145" s="16">
        <f t="shared" si="14"/>
        <v>0</v>
      </c>
      <c r="G145" s="16">
        <f t="shared" si="15"/>
        <v>0</v>
      </c>
      <c r="H145" s="16">
        <f t="shared" si="16"/>
        <v>0</v>
      </c>
      <c r="I145" s="22">
        <f t="shared" si="17"/>
        <v>0</v>
      </c>
      <c r="J145" s="22">
        <f t="shared" si="18"/>
        <v>0</v>
      </c>
      <c r="K145" s="22">
        <f t="shared" si="19"/>
        <v>0</v>
      </c>
      <c r="M145" s="22">
        <f t="shared" si="13"/>
        <v>-1.9500000000000213</v>
      </c>
      <c r="N145" s="22" cm="1">
        <f t="array" ref="N145">_xlfn.PERCENTILE.INC(($N$16/1000000)*$I$3:$I$523+M145*$J$3:$J$523,0.99)</f>
        <v>22466.412845730058</v>
      </c>
    </row>
    <row r="146" spans="1:14" x14ac:dyDescent="0.2">
      <c r="A146" s="19">
        <v>45768</v>
      </c>
      <c r="B146" s="15">
        <v>3.7650000000000001</v>
      </c>
      <c r="C146" s="15">
        <v>4.4119999999999999</v>
      </c>
      <c r="D146" s="16">
        <v>-3.4999999999999698</v>
      </c>
      <c r="E146" s="16">
        <v>8.6000000000000298</v>
      </c>
      <c r="F146" s="16">
        <f t="shared" si="14"/>
        <v>0</v>
      </c>
      <c r="G146" s="16">
        <f t="shared" si="15"/>
        <v>1</v>
      </c>
      <c r="H146" s="16">
        <f t="shared" si="16"/>
        <v>0</v>
      </c>
      <c r="I146" s="22">
        <f t="shared" si="17"/>
        <v>-657.57493899999417</v>
      </c>
      <c r="J146" s="22">
        <f t="shared" si="18"/>
        <v>6322.9748816400224</v>
      </c>
      <c r="K146" s="22">
        <f t="shared" si="19"/>
        <v>14265.09474672583</v>
      </c>
      <c r="M146" s="22">
        <f t="shared" si="13"/>
        <v>-1.9000000000000212</v>
      </c>
      <c r="N146" s="22" cm="1">
        <f t="array" ref="N146">_xlfn.PERCENTILE.INC(($N$16/1000000)*$I$3:$I$523+M146*$J$3:$J$523,0.99)</f>
        <v>22738.590112660058</v>
      </c>
    </row>
    <row r="147" spans="1:14" x14ac:dyDescent="0.2">
      <c r="A147" s="19">
        <v>45769</v>
      </c>
      <c r="B147" s="15">
        <v>3.82</v>
      </c>
      <c r="C147" s="15">
        <v>4.4029999999999996</v>
      </c>
      <c r="D147" s="16">
        <v>5.4999999999999716</v>
      </c>
      <c r="E147" s="16">
        <v>-0.90000000000003411</v>
      </c>
      <c r="F147" s="16">
        <f t="shared" si="14"/>
        <v>1</v>
      </c>
      <c r="G147" s="16">
        <f t="shared" si="15"/>
        <v>0</v>
      </c>
      <c r="H147" s="16">
        <f t="shared" si="16"/>
        <v>0</v>
      </c>
      <c r="I147" s="22">
        <f t="shared" si="17"/>
        <v>1032.2210689999945</v>
      </c>
      <c r="J147" s="22">
        <f t="shared" si="18"/>
        <v>-664.65976671002511</v>
      </c>
      <c r="K147" s="22">
        <f t="shared" si="19"/>
        <v>12946.948434319695</v>
      </c>
      <c r="M147" s="22">
        <f t="shared" si="13"/>
        <v>-1.8500000000000212</v>
      </c>
      <c r="N147" s="22" cm="1">
        <f t="array" ref="N147">_xlfn.PERCENTILE.INC(($N$16/1000000)*$I$3:$I$523+M147*$J$3:$J$523,0.99)</f>
        <v>23010.767379590063</v>
      </c>
    </row>
    <row r="148" spans="1:14" x14ac:dyDescent="0.2">
      <c r="A148" s="19">
        <v>45770</v>
      </c>
      <c r="B148" s="15">
        <v>3.8730000000000002</v>
      </c>
      <c r="C148" s="15">
        <v>4.3840000000000003</v>
      </c>
      <c r="D148" s="16">
        <v>5.300000000000038</v>
      </c>
      <c r="E148" s="16">
        <v>-1.899999999999924</v>
      </c>
      <c r="F148" s="16">
        <f t="shared" si="14"/>
        <v>1</v>
      </c>
      <c r="G148" s="16">
        <f t="shared" si="15"/>
        <v>0</v>
      </c>
      <c r="H148" s="16">
        <f t="shared" si="16"/>
        <v>0</v>
      </c>
      <c r="I148" s="22">
        <f t="shared" si="17"/>
        <v>994.70954804000712</v>
      </c>
      <c r="J148" s="22">
        <f t="shared" si="18"/>
        <v>-1403.8268615099439</v>
      </c>
      <c r="K148" s="22">
        <f t="shared" si="19"/>
        <v>9563.5851484333325</v>
      </c>
      <c r="M148" s="22">
        <f t="shared" si="13"/>
        <v>-1.8000000000000211</v>
      </c>
      <c r="N148" s="22" cm="1">
        <f t="array" ref="N148">_xlfn.PERCENTILE.INC(($N$16/1000000)*$I$3:$I$523+M148*$J$3:$J$523,0.99)</f>
        <v>23282.94464652006</v>
      </c>
    </row>
    <row r="149" spans="1:14" x14ac:dyDescent="0.2">
      <c r="A149" s="19">
        <v>45771</v>
      </c>
      <c r="B149" s="15">
        <v>3.8</v>
      </c>
      <c r="C149" s="15">
        <v>4.3170000000000002</v>
      </c>
      <c r="D149" s="16">
        <v>-7.3000000000000398</v>
      </c>
      <c r="E149" s="16">
        <v>-6.7000000000000171</v>
      </c>
      <c r="F149" s="16">
        <f t="shared" si="14"/>
        <v>1</v>
      </c>
      <c r="G149" s="16">
        <f t="shared" si="15"/>
        <v>1</v>
      </c>
      <c r="H149" s="16">
        <f t="shared" si="16"/>
        <v>1</v>
      </c>
      <c r="I149" s="22">
        <f t="shared" si="17"/>
        <v>-1372.1360407600075</v>
      </c>
      <c r="J149" s="22">
        <f t="shared" si="18"/>
        <v>-4961.4446019900124</v>
      </c>
      <c r="K149" s="22">
        <f t="shared" si="19"/>
        <v>-39515.106777487708</v>
      </c>
      <c r="M149" s="22">
        <f t="shared" si="13"/>
        <v>-1.7500000000000211</v>
      </c>
      <c r="N149" s="22" cm="1">
        <f t="array" ref="N149">_xlfn.PERCENTILE.INC(($N$16/1000000)*$I$3:$I$523+M149*$J$3:$J$523,0.99)</f>
        <v>23555.121913450064</v>
      </c>
    </row>
    <row r="150" spans="1:14" x14ac:dyDescent="0.2">
      <c r="A150" s="19">
        <v>45772</v>
      </c>
      <c r="B150" s="15">
        <v>3.75</v>
      </c>
      <c r="C150" s="15">
        <v>4.2370000000000001</v>
      </c>
      <c r="D150" s="16">
        <v>-4.9999999999999822</v>
      </c>
      <c r="E150" s="16">
        <v>-8.0000000000000071</v>
      </c>
      <c r="F150" s="16">
        <f t="shared" si="14"/>
        <v>1</v>
      </c>
      <c r="G150" s="16">
        <f t="shared" si="15"/>
        <v>1</v>
      </c>
      <c r="H150" s="16">
        <f t="shared" si="16"/>
        <v>1</v>
      </c>
      <c r="I150" s="22">
        <f t="shared" si="17"/>
        <v>-939.5610999999966</v>
      </c>
      <c r="J150" s="22">
        <f t="shared" si="18"/>
        <v>-5927.7050240000044</v>
      </c>
      <c r="K150" s="22">
        <f t="shared" si="19"/>
        <v>-36713.770133985337</v>
      </c>
      <c r="M150" s="22">
        <f t="shared" si="13"/>
        <v>-1.700000000000021</v>
      </c>
      <c r="N150" s="22" cm="1">
        <f t="array" ref="N150">_xlfn.PERCENTILE.INC(($N$16/1000000)*$I$3:$I$523+M150*$J$3:$J$523,0.99)</f>
        <v>23827.299180380069</v>
      </c>
    </row>
    <row r="151" spans="1:14" x14ac:dyDescent="0.2">
      <c r="A151" s="19">
        <v>45775</v>
      </c>
      <c r="B151" s="15">
        <v>3.6960000000000002</v>
      </c>
      <c r="C151" s="15">
        <v>4.21</v>
      </c>
      <c r="D151" s="16">
        <v>-5.3999999999999826</v>
      </c>
      <c r="E151" s="16">
        <v>-2.7000000000000135</v>
      </c>
      <c r="F151" s="16">
        <f t="shared" si="14"/>
        <v>1</v>
      </c>
      <c r="G151" s="16">
        <f t="shared" si="15"/>
        <v>0</v>
      </c>
      <c r="H151" s="16">
        <f t="shared" si="16"/>
        <v>0</v>
      </c>
      <c r="I151" s="22">
        <f t="shared" si="17"/>
        <v>-1014.7744670399966</v>
      </c>
      <c r="J151" s="22">
        <f t="shared" si="18"/>
        <v>-1995.6579003900099</v>
      </c>
      <c r="K151" s="22">
        <f t="shared" si="19"/>
        <v>-22837.125411721132</v>
      </c>
      <c r="M151" s="22">
        <f t="shared" si="13"/>
        <v>-1.650000000000021</v>
      </c>
      <c r="N151" s="22" cm="1">
        <f t="array" ref="N151">_xlfn.PERCENTILE.INC(($N$16/1000000)*$I$3:$I$523+M151*$J$3:$J$523,0.99)</f>
        <v>24099.476447310069</v>
      </c>
    </row>
    <row r="152" spans="1:14" x14ac:dyDescent="0.2">
      <c r="A152" s="19">
        <v>45776</v>
      </c>
      <c r="B152" s="15">
        <v>3.6520000000000001</v>
      </c>
      <c r="C152" s="15">
        <v>4.1740000000000004</v>
      </c>
      <c r="D152" s="16">
        <v>-4.4000000000000039</v>
      </c>
      <c r="E152" s="16">
        <v>-3.5999999999999588</v>
      </c>
      <c r="F152" s="16">
        <f t="shared" si="14"/>
        <v>0</v>
      </c>
      <c r="G152" s="16">
        <f t="shared" si="15"/>
        <v>0</v>
      </c>
      <c r="H152" s="16">
        <f t="shared" si="16"/>
        <v>0</v>
      </c>
      <c r="I152" s="22">
        <f t="shared" si="17"/>
        <v>-826.75451584000064</v>
      </c>
      <c r="J152" s="22">
        <f t="shared" si="18"/>
        <v>-2661.9962673599694</v>
      </c>
      <c r="K152" s="22">
        <f t="shared" si="19"/>
        <v>-22559.59934848193</v>
      </c>
      <c r="M152" s="22">
        <f t="shared" si="13"/>
        <v>-1.600000000000021</v>
      </c>
      <c r="N152" s="22" cm="1">
        <f t="array" ref="N152">_xlfn.PERCENTILE.INC(($N$16/1000000)*$I$3:$I$523+M152*$J$3:$J$523,0.99)</f>
        <v>24371.65371424007</v>
      </c>
    </row>
    <row r="153" spans="1:14" x14ac:dyDescent="0.2">
      <c r="A153" s="19">
        <v>45777</v>
      </c>
      <c r="B153" s="15">
        <v>3.605</v>
      </c>
      <c r="C153" s="15">
        <v>4.1630000000000003</v>
      </c>
      <c r="D153" s="16">
        <v>-4.7000000000000153</v>
      </c>
      <c r="E153" s="16">
        <v>-1.1000000000000121</v>
      </c>
      <c r="F153" s="16">
        <f t="shared" si="14"/>
        <v>1</v>
      </c>
      <c r="G153" s="16">
        <f t="shared" si="15"/>
        <v>0</v>
      </c>
      <c r="H153" s="16">
        <f t="shared" si="16"/>
        <v>0</v>
      </c>
      <c r="I153" s="22">
        <f t="shared" si="17"/>
        <v>-883.15578796000273</v>
      </c>
      <c r="J153" s="22">
        <f t="shared" si="18"/>
        <v>-812.43792311000902</v>
      </c>
      <c r="K153" s="22">
        <f t="shared" si="19"/>
        <v>-16347.631630292612</v>
      </c>
      <c r="M153" s="22">
        <f t="shared" si="13"/>
        <v>-1.5500000000000209</v>
      </c>
      <c r="N153" s="22" cm="1">
        <f t="array" ref="N153">_xlfn.PERCENTILE.INC(($N$16/1000000)*$I$3:$I$523+M153*$J$3:$J$523,0.99)</f>
        <v>24643.830981170071</v>
      </c>
    </row>
    <row r="154" spans="1:14" x14ac:dyDescent="0.2">
      <c r="A154" s="19">
        <v>45778</v>
      </c>
      <c r="B154" s="15">
        <v>3.7010000000000001</v>
      </c>
      <c r="C154" s="15">
        <v>4.22</v>
      </c>
      <c r="D154" s="16">
        <v>9.6000000000000085</v>
      </c>
      <c r="E154" s="16">
        <v>5.6999999999999496</v>
      </c>
      <c r="F154" s="16">
        <f t="shared" si="14"/>
        <v>1</v>
      </c>
      <c r="G154" s="16">
        <f t="shared" si="15"/>
        <v>1</v>
      </c>
      <c r="H154" s="16">
        <f t="shared" si="16"/>
        <v>1</v>
      </c>
      <c r="I154" s="22">
        <f t="shared" si="17"/>
        <v>1800.8115609600015</v>
      </c>
      <c r="J154" s="22">
        <f t="shared" si="18"/>
        <v>4196.5182464099626</v>
      </c>
      <c r="K154" s="22">
        <f t="shared" si="19"/>
        <v>43026.250764896991</v>
      </c>
      <c r="M154" s="22">
        <f t="shared" ref="M154:M217" si="20">M153+0.05</f>
        <v>-1.5000000000000209</v>
      </c>
      <c r="N154" s="22" cm="1">
        <f t="array" ref="N154">_xlfn.PERCENTILE.INC(($N$16/1000000)*$I$3:$I$523+M154*$J$3:$J$523,0.99)</f>
        <v>24945.477185699943</v>
      </c>
    </row>
    <row r="155" spans="1:14" x14ac:dyDescent="0.2">
      <c r="A155" s="19">
        <v>45779</v>
      </c>
      <c r="B155" s="15">
        <v>3.8250000000000002</v>
      </c>
      <c r="C155" s="15">
        <v>4.3099999999999996</v>
      </c>
      <c r="D155" s="16">
        <v>12.400000000000011</v>
      </c>
      <c r="E155" s="16">
        <v>8.9999999999999858</v>
      </c>
      <c r="F155" s="16">
        <f t="shared" si="14"/>
        <v>1</v>
      </c>
      <c r="G155" s="16">
        <f t="shared" si="15"/>
        <v>1</v>
      </c>
      <c r="H155" s="16">
        <f t="shared" si="16"/>
        <v>1</v>
      </c>
      <c r="I155" s="22">
        <f t="shared" si="17"/>
        <v>2325.2690105600018</v>
      </c>
      <c r="J155" s="22">
        <f t="shared" si="18"/>
        <v>6615.8233289999889</v>
      </c>
      <c r="K155" s="22">
        <f t="shared" si="19"/>
        <v>60125.275090387251</v>
      </c>
      <c r="M155" s="22">
        <f t="shared" si="20"/>
        <v>-1.4500000000000208</v>
      </c>
      <c r="N155" s="22" cm="1">
        <f t="array" ref="N155">_xlfn.PERCENTILE.INC(($N$16/1000000)*$I$3:$I$523+M155*$J$3:$J$523,0.99)</f>
        <v>25261.614877269938</v>
      </c>
    </row>
    <row r="156" spans="1:14" x14ac:dyDescent="0.2">
      <c r="A156" s="19">
        <v>45782</v>
      </c>
      <c r="B156" s="15">
        <v>3.8340000000000001</v>
      </c>
      <c r="C156" s="15">
        <v>4.3449999999999998</v>
      </c>
      <c r="D156" s="16">
        <v>0.8999999999999897</v>
      </c>
      <c r="E156" s="16">
        <v>3.5000000000000142</v>
      </c>
      <c r="F156" s="16">
        <f t="shared" si="14"/>
        <v>0</v>
      </c>
      <c r="G156" s="16">
        <f t="shared" si="15"/>
        <v>0</v>
      </c>
      <c r="H156" s="16">
        <f t="shared" si="16"/>
        <v>0</v>
      </c>
      <c r="I156" s="22">
        <f t="shared" si="17"/>
        <v>169.00182035999808</v>
      </c>
      <c r="J156" s="22">
        <f t="shared" si="18"/>
        <v>2579.4689602500102</v>
      </c>
      <c r="K156" s="22">
        <f t="shared" si="19"/>
        <v>12378.381492644998</v>
      </c>
      <c r="M156" s="22">
        <f t="shared" si="20"/>
        <v>-1.4000000000000208</v>
      </c>
      <c r="N156" s="22" cm="1">
        <f t="array" ref="N156">_xlfn.PERCENTILE.INC(($N$16/1000000)*$I$3:$I$523+M156*$J$3:$J$523,0.99)</f>
        <v>25577.752568839936</v>
      </c>
    </row>
    <row r="157" spans="1:14" x14ac:dyDescent="0.2">
      <c r="A157" s="19">
        <v>45783</v>
      </c>
      <c r="B157" s="15">
        <v>3.7850000000000001</v>
      </c>
      <c r="C157" s="15">
        <v>4.2969999999999997</v>
      </c>
      <c r="D157" s="16">
        <v>-4.8999999999999932</v>
      </c>
      <c r="E157" s="16">
        <v>-4.8000000000000043</v>
      </c>
      <c r="F157" s="16">
        <f t="shared" si="14"/>
        <v>1</v>
      </c>
      <c r="G157" s="16">
        <f t="shared" si="15"/>
        <v>1</v>
      </c>
      <c r="H157" s="16">
        <f t="shared" si="16"/>
        <v>1</v>
      </c>
      <c r="I157" s="22">
        <f t="shared" si="17"/>
        <v>-920.75888043999873</v>
      </c>
      <c r="J157" s="22">
        <f t="shared" si="18"/>
        <v>-3551.3178086400026</v>
      </c>
      <c r="K157" s="22">
        <f t="shared" si="19"/>
        <v>-27363.350514834725</v>
      </c>
      <c r="M157" s="22">
        <f t="shared" si="20"/>
        <v>-1.3500000000000207</v>
      </c>
      <c r="N157" s="22" cm="1">
        <f t="array" ref="N157">_xlfn.PERCENTILE.INC(($N$16/1000000)*$I$3:$I$523+M157*$J$3:$J$523,0.99)</f>
        <v>25893.890260409931</v>
      </c>
    </row>
    <row r="158" spans="1:14" x14ac:dyDescent="0.2">
      <c r="A158" s="19">
        <v>45784</v>
      </c>
      <c r="B158" s="15">
        <v>3.7789999999999999</v>
      </c>
      <c r="C158" s="15">
        <v>4.2709999999999999</v>
      </c>
      <c r="D158" s="16">
        <v>-0.60000000000002274</v>
      </c>
      <c r="E158" s="16">
        <v>-2.5999999999999801</v>
      </c>
      <c r="F158" s="16">
        <f t="shared" si="14"/>
        <v>0</v>
      </c>
      <c r="G158" s="16">
        <f t="shared" si="15"/>
        <v>0</v>
      </c>
      <c r="H158" s="16">
        <f t="shared" si="16"/>
        <v>0</v>
      </c>
      <c r="I158" s="22">
        <f t="shared" si="17"/>
        <v>-112.68807984000426</v>
      </c>
      <c r="J158" s="22">
        <f t="shared" si="18"/>
        <v>-1921.6548431599854</v>
      </c>
      <c r="K158" s="22">
        <f t="shared" si="19"/>
        <v>-9023.4310501897126</v>
      </c>
      <c r="M158" s="22">
        <f t="shared" si="20"/>
        <v>-1.3000000000000207</v>
      </c>
      <c r="N158" s="22" cm="1">
        <f t="array" ref="N158">_xlfn.PERCENTILE.INC(($N$16/1000000)*$I$3:$I$523+M158*$J$3:$J$523,0.99)</f>
        <v>26210.027951979926</v>
      </c>
    </row>
    <row r="159" spans="1:14" x14ac:dyDescent="0.2">
      <c r="A159" s="19">
        <v>45785</v>
      </c>
      <c r="B159" s="15">
        <v>3.8759999999999999</v>
      </c>
      <c r="C159" s="15">
        <v>4.38</v>
      </c>
      <c r="D159" s="16">
        <v>9.6999999999999975</v>
      </c>
      <c r="E159" s="16">
        <v>10.899999999999999</v>
      </c>
      <c r="F159" s="16">
        <f t="shared" si="14"/>
        <v>1</v>
      </c>
      <c r="G159" s="16">
        <f t="shared" si="15"/>
        <v>1</v>
      </c>
      <c r="H159" s="16">
        <f t="shared" si="16"/>
        <v>1</v>
      </c>
      <c r="I159" s="22">
        <f t="shared" si="17"/>
        <v>1819.5482440399994</v>
      </c>
      <c r="J159" s="22">
        <f t="shared" si="18"/>
        <v>8005.34409529</v>
      </c>
      <c r="K159" s="22">
        <f t="shared" si="19"/>
        <v>57841.929047259335</v>
      </c>
      <c r="M159" s="22">
        <f t="shared" si="20"/>
        <v>-1.2500000000000207</v>
      </c>
      <c r="N159" s="22" cm="1">
        <f t="array" ref="N159">_xlfn.PERCENTILE.INC(($N$16/1000000)*$I$3:$I$523+M159*$J$3:$J$523,0.99)</f>
        <v>26526.165643549921</v>
      </c>
    </row>
    <row r="160" spans="1:14" x14ac:dyDescent="0.2">
      <c r="A160" s="19">
        <v>45786</v>
      </c>
      <c r="B160" s="15">
        <v>3.8919999999999999</v>
      </c>
      <c r="C160" s="15">
        <v>4.38</v>
      </c>
      <c r="D160" s="16">
        <v>1.6000000000000014</v>
      </c>
      <c r="E160" s="16">
        <v>0</v>
      </c>
      <c r="F160" s="16">
        <f t="shared" si="14"/>
        <v>0</v>
      </c>
      <c r="G160" s="16">
        <f t="shared" si="15"/>
        <v>0</v>
      </c>
      <c r="H160" s="16">
        <f t="shared" si="16"/>
        <v>0</v>
      </c>
      <c r="I160" s="22">
        <f t="shared" si="17"/>
        <v>300.42254336000025</v>
      </c>
      <c r="J160" s="22">
        <f t="shared" si="18"/>
        <v>0</v>
      </c>
      <c r="K160" s="22">
        <f t="shared" si="19"/>
        <v>4506.3381504000035</v>
      </c>
      <c r="M160" s="22">
        <f t="shared" si="20"/>
        <v>-1.2000000000000206</v>
      </c>
      <c r="N160" s="22" cm="1">
        <f t="array" ref="N160">_xlfn.PERCENTILE.INC(($N$16/1000000)*$I$3:$I$523+M160*$J$3:$J$523,0.99)</f>
        <v>26864.939099193423</v>
      </c>
    </row>
    <row r="161" spans="1:14" x14ac:dyDescent="0.2">
      <c r="A161" s="19">
        <v>45789</v>
      </c>
      <c r="B161" s="15">
        <v>4.0119999999999996</v>
      </c>
      <c r="C161" s="15">
        <v>4.4729999999999999</v>
      </c>
      <c r="D161" s="16">
        <v>11.999999999999966</v>
      </c>
      <c r="E161" s="16">
        <v>9.2999999999999972</v>
      </c>
      <c r="F161" s="16">
        <f t="shared" si="14"/>
        <v>1</v>
      </c>
      <c r="G161" s="16">
        <f t="shared" si="15"/>
        <v>1</v>
      </c>
      <c r="H161" s="16">
        <f t="shared" si="16"/>
        <v>1</v>
      </c>
      <c r="I161" s="22">
        <f t="shared" si="17"/>
        <v>2250.3680639999934</v>
      </c>
      <c r="J161" s="22">
        <f t="shared" si="18"/>
        <v>6835.3871324099982</v>
      </c>
      <c r="K161" s="22">
        <f t="shared" si="19"/>
        <v>59839.624931821847</v>
      </c>
      <c r="M161" s="22">
        <f t="shared" si="20"/>
        <v>-1.1500000000000206</v>
      </c>
      <c r="N161" s="22" cm="1">
        <f t="array" ref="N161">_xlfn.PERCENTILE.INC(($N$16/1000000)*$I$3:$I$523+M161*$J$3:$J$523,0.99)</f>
        <v>27240.980440987034</v>
      </c>
    </row>
    <row r="162" spans="1:14" x14ac:dyDescent="0.2">
      <c r="A162" s="19">
        <v>45790</v>
      </c>
      <c r="B162" s="15">
        <v>4.0019999999999998</v>
      </c>
      <c r="C162" s="15">
        <v>4.4669999999999996</v>
      </c>
      <c r="D162" s="16">
        <v>-0.99999999999997868</v>
      </c>
      <c r="E162" s="16">
        <v>-0.60000000000002274</v>
      </c>
      <c r="F162" s="16">
        <f t="shared" si="14"/>
        <v>0</v>
      </c>
      <c r="G162" s="16">
        <f t="shared" si="15"/>
        <v>0</v>
      </c>
      <c r="H162" s="16">
        <f t="shared" si="16"/>
        <v>0</v>
      </c>
      <c r="I162" s="22">
        <f t="shared" si="17"/>
        <v>-187.82244399999598</v>
      </c>
      <c r="J162" s="22">
        <f t="shared" si="18"/>
        <v>-443.04434076001678</v>
      </c>
      <c r="K162" s="22">
        <f t="shared" si="19"/>
        <v>-4508.0111491911721</v>
      </c>
      <c r="M162" s="22">
        <f t="shared" si="20"/>
        <v>-1.1000000000000205</v>
      </c>
      <c r="N162" s="22" cm="1">
        <f t="array" ref="N162">_xlfn.PERCENTILE.INC(($N$16/1000000)*$I$3:$I$523+M162*$J$3:$J$523,0.99)</f>
        <v>27663.198641622857</v>
      </c>
    </row>
    <row r="163" spans="1:14" x14ac:dyDescent="0.2">
      <c r="A163" s="19">
        <v>45791</v>
      </c>
      <c r="B163" s="15">
        <v>4.0529999999999999</v>
      </c>
      <c r="C163" s="15">
        <v>4.5380000000000003</v>
      </c>
      <c r="D163" s="16">
        <v>5.1000000000000156</v>
      </c>
      <c r="E163" s="16">
        <v>7.1000000000000618</v>
      </c>
      <c r="F163" s="16">
        <f t="shared" si="14"/>
        <v>0</v>
      </c>
      <c r="G163" s="16">
        <f t="shared" si="15"/>
        <v>1</v>
      </c>
      <c r="H163" s="16">
        <f t="shared" si="16"/>
        <v>0</v>
      </c>
      <c r="I163" s="22">
        <f t="shared" si="17"/>
        <v>957.19623156000284</v>
      </c>
      <c r="J163" s="22">
        <f t="shared" si="18"/>
        <v>5223.8088396900448</v>
      </c>
      <c r="K163" s="22">
        <f t="shared" si="19"/>
        <v>34292.201806381425</v>
      </c>
      <c r="M163" s="22">
        <f t="shared" si="20"/>
        <v>-1.0500000000000205</v>
      </c>
      <c r="N163" s="22" cm="1">
        <f t="array" ref="N163">_xlfn.PERCENTILE.INC(($N$16/1000000)*$I$3:$I$523+M163*$J$3:$J$523,0.99)</f>
        <v>28132.005703125531</v>
      </c>
    </row>
    <row r="164" spans="1:14" x14ac:dyDescent="0.2">
      <c r="A164" s="19">
        <v>45792</v>
      </c>
      <c r="B164" s="15">
        <v>3.9630000000000001</v>
      </c>
      <c r="C164" s="15">
        <v>4.4329999999999998</v>
      </c>
      <c r="D164" s="16">
        <v>-8.9999999999999858</v>
      </c>
      <c r="E164" s="16">
        <v>-10.500000000000043</v>
      </c>
      <c r="F164" s="16">
        <f t="shared" si="14"/>
        <v>1</v>
      </c>
      <c r="G164" s="16">
        <f t="shared" si="15"/>
        <v>1</v>
      </c>
      <c r="H164" s="16">
        <f t="shared" si="16"/>
        <v>1</v>
      </c>
      <c r="I164" s="22">
        <f t="shared" si="17"/>
        <v>-1692.0179639999972</v>
      </c>
      <c r="J164" s="22">
        <f t="shared" si="18"/>
        <v>-7789.1793577500312</v>
      </c>
      <c r="K164" s="22">
        <f t="shared" si="19"/>
        <v>-55104.081774795181</v>
      </c>
      <c r="M164" s="22">
        <f t="shared" si="20"/>
        <v>-1.0000000000000204</v>
      </c>
      <c r="N164" s="22" cm="1">
        <f t="array" ref="N164">_xlfn.PERCENTILE.INC(($N$16/1000000)*$I$3:$I$523+M164*$J$3:$J$523,0.99)</f>
        <v>28324.878885231938</v>
      </c>
    </row>
    <row r="165" spans="1:14" x14ac:dyDescent="0.2">
      <c r="A165" s="19">
        <v>45793</v>
      </c>
      <c r="B165" s="15">
        <v>4.0019999999999998</v>
      </c>
      <c r="C165" s="15">
        <v>4.4800000000000004</v>
      </c>
      <c r="D165" s="16">
        <v>3.8999999999999702</v>
      </c>
      <c r="E165" s="16">
        <v>4.7000000000000597</v>
      </c>
      <c r="F165" s="16">
        <f t="shared" si="14"/>
        <v>0</v>
      </c>
      <c r="G165" s="16">
        <f t="shared" si="15"/>
        <v>0</v>
      </c>
      <c r="H165" s="16">
        <f t="shared" si="16"/>
        <v>0</v>
      </c>
      <c r="I165" s="22">
        <f t="shared" si="17"/>
        <v>732.07862675999434</v>
      </c>
      <c r="J165" s="22">
        <f t="shared" si="18"/>
        <v>3461.9103128100442</v>
      </c>
      <c r="K165" s="22">
        <f t="shared" si="19"/>
        <v>24191.96421741982</v>
      </c>
      <c r="M165" s="22">
        <f t="shared" si="20"/>
        <v>-0.95000000000002038</v>
      </c>
      <c r="N165" s="22" cm="1">
        <f t="array" ref="N165">_xlfn.PERCENTILE.INC(($N$16/1000000)*$I$3:$I$523+M165*$J$3:$J$523,0.99)</f>
        <v>28574.940263722005</v>
      </c>
    </row>
    <row r="166" spans="1:14" x14ac:dyDescent="0.2">
      <c r="A166" s="19">
        <v>45796</v>
      </c>
      <c r="B166" s="15">
        <v>3.9780000000000002</v>
      </c>
      <c r="C166" s="15">
        <v>4.45</v>
      </c>
      <c r="D166" s="16">
        <v>-2.3999999999999577</v>
      </c>
      <c r="E166" s="16">
        <v>-3.0000000000000249</v>
      </c>
      <c r="F166" s="16">
        <f t="shared" si="14"/>
        <v>0</v>
      </c>
      <c r="G166" s="16">
        <f t="shared" si="15"/>
        <v>0</v>
      </c>
      <c r="H166" s="16">
        <f t="shared" si="16"/>
        <v>0</v>
      </c>
      <c r="I166" s="22">
        <f t="shared" si="17"/>
        <v>-450.84927743999202</v>
      </c>
      <c r="J166" s="22">
        <f t="shared" si="18"/>
        <v>-2217.708519000018</v>
      </c>
      <c r="K166" s="22">
        <f t="shared" si="19"/>
        <v>-15225.601391379141</v>
      </c>
      <c r="M166" s="22">
        <f t="shared" si="20"/>
        <v>-0.90000000000002034</v>
      </c>
      <c r="N166" s="22" cm="1">
        <f t="array" ref="N166">_xlfn.PERCENTILE.INC(($N$16/1000000)*$I$3:$I$523+M166*$J$3:$J$523,0.99)</f>
        <v>28871.251934086096</v>
      </c>
    </row>
    <row r="167" spans="1:14" x14ac:dyDescent="0.2">
      <c r="A167" s="19">
        <v>45797</v>
      </c>
      <c r="B167" s="15">
        <v>3.9729999999999999</v>
      </c>
      <c r="C167" s="15">
        <v>4.4889999999999999</v>
      </c>
      <c r="D167" s="16">
        <v>-0.50000000000003375</v>
      </c>
      <c r="E167" s="16">
        <v>3.8999999999999702</v>
      </c>
      <c r="F167" s="16">
        <f t="shared" si="14"/>
        <v>0</v>
      </c>
      <c r="G167" s="16">
        <f t="shared" si="15"/>
        <v>0</v>
      </c>
      <c r="H167" s="16">
        <f t="shared" si="16"/>
        <v>0</v>
      </c>
      <c r="I167" s="22">
        <f t="shared" si="17"/>
        <v>-93.905611000006331</v>
      </c>
      <c r="J167" s="22">
        <f t="shared" si="18"/>
        <v>2873.7266028899776</v>
      </c>
      <c r="K167" s="22">
        <f t="shared" si="19"/>
        <v>9557.6686666729838</v>
      </c>
      <c r="M167" s="22">
        <f t="shared" si="20"/>
        <v>-0.85000000000002029</v>
      </c>
      <c r="N167" s="22" cm="1">
        <f t="array" ref="N167">_xlfn.PERCENTILE.INC(($N$16/1000000)*$I$3:$I$523+M167*$J$3:$J$523,0.99)</f>
        <v>29167.563604450188</v>
      </c>
    </row>
    <row r="168" spans="1:14" x14ac:dyDescent="0.2">
      <c r="A168" s="19">
        <v>45798</v>
      </c>
      <c r="B168" s="15">
        <v>4.0199999999999996</v>
      </c>
      <c r="C168" s="15">
        <v>4.601</v>
      </c>
      <c r="D168" s="16">
        <v>4.6999999999999709</v>
      </c>
      <c r="E168" s="16">
        <v>11.20000000000001</v>
      </c>
      <c r="F168" s="16">
        <f t="shared" si="14"/>
        <v>0</v>
      </c>
      <c r="G168" s="16">
        <f t="shared" si="15"/>
        <v>1</v>
      </c>
      <c r="H168" s="16">
        <f t="shared" si="16"/>
        <v>0</v>
      </c>
      <c r="I168" s="22">
        <f t="shared" si="17"/>
        <v>882.16421203999448</v>
      </c>
      <c r="J168" s="22">
        <f t="shared" si="18"/>
        <v>8224.514152960006</v>
      </c>
      <c r="K168" s="22">
        <f t="shared" si="19"/>
        <v>44617.530057988617</v>
      </c>
      <c r="M168" s="22">
        <f t="shared" si="20"/>
        <v>-0.80000000000002025</v>
      </c>
      <c r="N168" s="22" cm="1">
        <f t="array" ref="N168">_xlfn.PERCENTILE.INC(($N$16/1000000)*$I$3:$I$523+M168*$J$3:$J$523,0.99)</f>
        <v>29463.87527481428</v>
      </c>
    </row>
    <row r="169" spans="1:14" x14ac:dyDescent="0.2">
      <c r="A169" s="19">
        <v>45799</v>
      </c>
      <c r="B169" s="15">
        <v>3.992</v>
      </c>
      <c r="C169" s="15">
        <v>4.53</v>
      </c>
      <c r="D169" s="16">
        <v>-2.7999999999999581</v>
      </c>
      <c r="E169" s="16">
        <v>-7.099999999999973</v>
      </c>
      <c r="F169" s="16">
        <f t="shared" si="14"/>
        <v>0</v>
      </c>
      <c r="G169" s="16">
        <f t="shared" si="15"/>
        <v>1</v>
      </c>
      <c r="H169" s="16">
        <f t="shared" si="16"/>
        <v>0</v>
      </c>
      <c r="I169" s="22">
        <f t="shared" si="17"/>
        <v>-526.01596095999207</v>
      </c>
      <c r="J169" s="22">
        <f t="shared" si="18"/>
        <v>-5258.6311603099803</v>
      </c>
      <c r="K169" s="22">
        <f t="shared" si="19"/>
        <v>-27957.381081418593</v>
      </c>
      <c r="M169" s="22">
        <f t="shared" si="20"/>
        <v>-0.75000000000002021</v>
      </c>
      <c r="N169" s="22" cm="1">
        <f t="array" ref="N169">_xlfn.PERCENTILE.INC(($N$16/1000000)*$I$3:$I$523+M169*$J$3:$J$523,0.99)</f>
        <v>29760.186945178375</v>
      </c>
    </row>
    <row r="170" spans="1:14" x14ac:dyDescent="0.2">
      <c r="A170" s="19">
        <v>45800</v>
      </c>
      <c r="B170" s="15">
        <v>3.9940000000000002</v>
      </c>
      <c r="C170" s="15">
        <v>4.5129999999999999</v>
      </c>
      <c r="D170" s="16">
        <v>0.20000000000002238</v>
      </c>
      <c r="E170" s="16">
        <v>-1.7000000000000348</v>
      </c>
      <c r="F170" s="16">
        <f t="shared" si="14"/>
        <v>0</v>
      </c>
      <c r="G170" s="16">
        <f t="shared" si="15"/>
        <v>0</v>
      </c>
      <c r="H170" s="16">
        <f t="shared" si="16"/>
        <v>0</v>
      </c>
      <c r="I170" s="22">
        <f t="shared" si="17"/>
        <v>37.559102240004201</v>
      </c>
      <c r="J170" s="22">
        <f t="shared" si="18"/>
        <v>-1255.9381799900254</v>
      </c>
      <c r="K170" s="22">
        <f t="shared" si="19"/>
        <v>-4229.3225601846862</v>
      </c>
      <c r="M170" s="22">
        <f t="shared" si="20"/>
        <v>-0.70000000000002016</v>
      </c>
      <c r="N170" s="22" cm="1">
        <f t="array" ref="N170">_xlfn.PERCENTILE.INC(($N$16/1000000)*$I$3:$I$523+M170*$J$3:$J$523,0.99)</f>
        <v>30056.498615542467</v>
      </c>
    </row>
    <row r="171" spans="1:14" x14ac:dyDescent="0.2">
      <c r="A171" s="19">
        <v>45803</v>
      </c>
      <c r="B171" s="15">
        <v>3.9940000000000002</v>
      </c>
      <c r="C171" s="15">
        <v>4.5129999999999999</v>
      </c>
      <c r="D171" s="16">
        <v>0</v>
      </c>
      <c r="E171" s="16">
        <v>0</v>
      </c>
      <c r="F171" s="16">
        <f t="shared" si="14"/>
        <v>0</v>
      </c>
      <c r="G171" s="16">
        <f t="shared" si="15"/>
        <v>0</v>
      </c>
      <c r="H171" s="16">
        <f t="shared" si="16"/>
        <v>0</v>
      </c>
      <c r="I171" s="22">
        <f t="shared" si="17"/>
        <v>0</v>
      </c>
      <c r="J171" s="22">
        <f t="shared" si="18"/>
        <v>0</v>
      </c>
      <c r="K171" s="22">
        <f t="shared" si="19"/>
        <v>0</v>
      </c>
      <c r="M171" s="22">
        <f t="shared" si="20"/>
        <v>-0.65000000000002012</v>
      </c>
      <c r="N171" s="22" cm="1">
        <f t="array" ref="N171">_xlfn.PERCENTILE.INC(($N$16/1000000)*$I$3:$I$523+M171*$J$3:$J$523,0.99)</f>
        <v>30352.810285906558</v>
      </c>
    </row>
    <row r="172" spans="1:14" x14ac:dyDescent="0.2">
      <c r="A172" s="19">
        <v>45804</v>
      </c>
      <c r="B172" s="15">
        <v>3.9830000000000001</v>
      </c>
      <c r="C172" s="15">
        <v>4.4459999999999997</v>
      </c>
      <c r="D172" s="16">
        <v>-1.1000000000000121</v>
      </c>
      <c r="E172" s="16">
        <v>-6.7000000000000171</v>
      </c>
      <c r="F172" s="16">
        <f t="shared" si="14"/>
        <v>0</v>
      </c>
      <c r="G172" s="16">
        <f t="shared" si="15"/>
        <v>1</v>
      </c>
      <c r="H172" s="16">
        <f t="shared" si="16"/>
        <v>0</v>
      </c>
      <c r="I172" s="22">
        <f t="shared" si="17"/>
        <v>-206.60715724000224</v>
      </c>
      <c r="J172" s="22">
        <f t="shared" si="18"/>
        <v>-4961.4446019900124</v>
      </c>
      <c r="K172" s="22">
        <f t="shared" si="19"/>
        <v>-22032.173524687631</v>
      </c>
      <c r="M172" s="22">
        <f t="shared" si="20"/>
        <v>-0.60000000000002007</v>
      </c>
      <c r="N172" s="22" cm="1">
        <f t="array" ref="N172">_xlfn.PERCENTILE.INC(($N$16/1000000)*$I$3:$I$523+M172*$J$3:$J$523,0.99)</f>
        <v>30658.490664910616</v>
      </c>
    </row>
    <row r="173" spans="1:14" x14ac:dyDescent="0.2">
      <c r="A173" s="19">
        <v>45805</v>
      </c>
      <c r="B173" s="15">
        <v>3.9910000000000001</v>
      </c>
      <c r="C173" s="15">
        <v>4.4800000000000004</v>
      </c>
      <c r="D173" s="16">
        <v>0.80000000000000071</v>
      </c>
      <c r="E173" s="16">
        <v>3.4000000000000696</v>
      </c>
      <c r="F173" s="16">
        <f t="shared" si="14"/>
        <v>0</v>
      </c>
      <c r="G173" s="16">
        <f t="shared" si="15"/>
        <v>0</v>
      </c>
      <c r="H173" s="16">
        <f t="shared" si="16"/>
        <v>0</v>
      </c>
      <c r="I173" s="22">
        <f t="shared" si="17"/>
        <v>150.22563584000014</v>
      </c>
      <c r="J173" s="22">
        <f t="shared" si="18"/>
        <v>2505.8872800400504</v>
      </c>
      <c r="K173" s="22">
        <f t="shared" si="19"/>
        <v>11815.948162461587</v>
      </c>
      <c r="M173" s="22">
        <f t="shared" si="20"/>
        <v>-0.55000000000002003</v>
      </c>
      <c r="N173" s="22" cm="1">
        <f t="array" ref="N173">_xlfn.PERCENTILE.INC(($N$16/1000000)*$I$3:$I$523+M173*$J$3:$J$523,0.99)</f>
        <v>30991.477469394715</v>
      </c>
    </row>
    <row r="174" spans="1:14" x14ac:dyDescent="0.2">
      <c r="A174" s="19">
        <v>45806</v>
      </c>
      <c r="B174" s="15">
        <v>3.94</v>
      </c>
      <c r="C174" s="15">
        <v>4.42</v>
      </c>
      <c r="D174" s="16">
        <v>-5.1000000000000156</v>
      </c>
      <c r="E174" s="16">
        <v>-6.0000000000000497</v>
      </c>
      <c r="F174" s="16">
        <f t="shared" si="14"/>
        <v>1</v>
      </c>
      <c r="G174" s="16">
        <f t="shared" si="15"/>
        <v>1</v>
      </c>
      <c r="H174" s="16">
        <f t="shared" si="16"/>
        <v>1</v>
      </c>
      <c r="I174" s="22">
        <f t="shared" si="17"/>
        <v>-958.36376844000279</v>
      </c>
      <c r="J174" s="22">
        <f t="shared" si="18"/>
        <v>-4441.6340760000367</v>
      </c>
      <c r="K174" s="22">
        <f t="shared" si="19"/>
        <v>-31324.905445716951</v>
      </c>
      <c r="M174" s="22">
        <f t="shared" si="20"/>
        <v>-0.50000000000001998</v>
      </c>
      <c r="N174" s="22" cm="1">
        <f t="array" ref="N174">_xlfn.PERCENTILE.INC(($N$16/1000000)*$I$3:$I$523+M174*$J$3:$J$523,0.99)</f>
        <v>31324.464273878813</v>
      </c>
    </row>
    <row r="175" spans="1:14" x14ac:dyDescent="0.2">
      <c r="A175" s="19">
        <v>45807</v>
      </c>
      <c r="B175" s="15">
        <v>3.9009999999999998</v>
      </c>
      <c r="C175" s="15">
        <v>4.4029999999999996</v>
      </c>
      <c r="D175" s="16">
        <v>-3.9000000000000146</v>
      </c>
      <c r="E175" s="16">
        <v>-1.7000000000000348</v>
      </c>
      <c r="F175" s="16">
        <f t="shared" si="14"/>
        <v>0</v>
      </c>
      <c r="G175" s="16">
        <f t="shared" si="15"/>
        <v>0</v>
      </c>
      <c r="H175" s="16">
        <f t="shared" si="16"/>
        <v>0</v>
      </c>
      <c r="I175" s="22">
        <f t="shared" si="17"/>
        <v>-732.76137324000263</v>
      </c>
      <c r="J175" s="22">
        <f t="shared" si="18"/>
        <v>-1255.9381799900254</v>
      </c>
      <c r="K175" s="22">
        <f t="shared" si="19"/>
        <v>-15784.129692384788</v>
      </c>
      <c r="M175" s="22">
        <f t="shared" si="20"/>
        <v>-0.45000000000002</v>
      </c>
      <c r="N175" s="22" cm="1">
        <f t="array" ref="N175">_xlfn.PERCENTILE.INC(($N$16/1000000)*$I$3:$I$523+M175*$J$3:$J$523,0.99)</f>
        <v>31657.451078362916</v>
      </c>
    </row>
    <row r="176" spans="1:14" x14ac:dyDescent="0.2">
      <c r="A176" s="19">
        <v>45810</v>
      </c>
      <c r="B176" s="15">
        <v>3.9380000000000002</v>
      </c>
      <c r="C176" s="15">
        <v>4.4420000000000002</v>
      </c>
      <c r="D176" s="16">
        <v>3.7000000000000366</v>
      </c>
      <c r="E176" s="16">
        <v>3.900000000000059</v>
      </c>
      <c r="F176" s="16">
        <f t="shared" si="14"/>
        <v>0</v>
      </c>
      <c r="G176" s="16">
        <f t="shared" si="15"/>
        <v>0</v>
      </c>
      <c r="H176" s="16">
        <f t="shared" si="16"/>
        <v>0</v>
      </c>
      <c r="I176" s="22">
        <f t="shared" si="17"/>
        <v>694.55274164000684</v>
      </c>
      <c r="J176" s="22">
        <f t="shared" si="18"/>
        <v>2873.7266028900431</v>
      </c>
      <c r="K176" s="22">
        <f t="shared" si="19"/>
        <v>21384.543956273432</v>
      </c>
      <c r="M176" s="22">
        <f t="shared" si="20"/>
        <v>-0.40000000000002001</v>
      </c>
      <c r="N176" s="22" cm="1">
        <f t="array" ref="N176">_xlfn.PERCENTILE.INC(($N$16/1000000)*$I$3:$I$523+M176*$J$3:$J$523,0.99)</f>
        <v>31990.437882847014</v>
      </c>
    </row>
    <row r="177" spans="1:14" x14ac:dyDescent="0.2">
      <c r="A177" s="19">
        <v>45811</v>
      </c>
      <c r="B177" s="15">
        <v>3.9529999999999998</v>
      </c>
      <c r="C177" s="15">
        <v>4.4560000000000004</v>
      </c>
      <c r="D177" s="16">
        <v>1.499999999999968</v>
      </c>
      <c r="E177" s="16">
        <v>1.4000000000000234</v>
      </c>
      <c r="F177" s="16">
        <f t="shared" si="14"/>
        <v>0</v>
      </c>
      <c r="G177" s="16">
        <f t="shared" si="15"/>
        <v>0</v>
      </c>
      <c r="H177" s="16">
        <f t="shared" si="16"/>
        <v>0</v>
      </c>
      <c r="I177" s="22">
        <f t="shared" si="17"/>
        <v>281.64950099999396</v>
      </c>
      <c r="J177" s="22">
        <f t="shared" si="18"/>
        <v>1032.803033640017</v>
      </c>
      <c r="K177" s="22">
        <f t="shared" si="19"/>
        <v>8165.9591849591716</v>
      </c>
      <c r="M177" s="22">
        <f t="shared" si="20"/>
        <v>-0.35000000000002002</v>
      </c>
      <c r="N177" s="22" cm="1">
        <f t="array" ref="N177">_xlfn.PERCENTILE.INC(($N$16/1000000)*$I$3:$I$523+M177*$J$3:$J$523,0.99)</f>
        <v>32323.424687331113</v>
      </c>
    </row>
    <row r="178" spans="1:14" x14ac:dyDescent="0.2">
      <c r="A178" s="19">
        <v>45812</v>
      </c>
      <c r="B178" s="15">
        <v>3.8679999999999999</v>
      </c>
      <c r="C178" s="15">
        <v>4.3559999999999999</v>
      </c>
      <c r="D178" s="16">
        <v>-8.4999999999999964</v>
      </c>
      <c r="E178" s="16">
        <v>-10.000000000000053</v>
      </c>
      <c r="F178" s="16">
        <f t="shared" si="14"/>
        <v>1</v>
      </c>
      <c r="G178" s="16">
        <f t="shared" si="15"/>
        <v>1</v>
      </c>
      <c r="H178" s="16">
        <f t="shared" si="16"/>
        <v>1</v>
      </c>
      <c r="I178" s="22">
        <f t="shared" si="17"/>
        <v>-1597.9215789999989</v>
      </c>
      <c r="J178" s="22">
        <f t="shared" si="18"/>
        <v>-7416.53910000004</v>
      </c>
      <c r="K178" s="22">
        <f t="shared" si="19"/>
        <v>-52270.626238102275</v>
      </c>
      <c r="M178" s="22">
        <f t="shared" si="20"/>
        <v>-0.30000000000002003</v>
      </c>
      <c r="N178" s="22" cm="1">
        <f t="array" ref="N178">_xlfn.PERCENTILE.INC(($N$16/1000000)*$I$3:$I$523+M178*$J$3:$J$523,0.99)</f>
        <v>32656.411491815212</v>
      </c>
    </row>
    <row r="179" spans="1:14" x14ac:dyDescent="0.2">
      <c r="A179" s="19">
        <v>45813</v>
      </c>
      <c r="B179" s="15">
        <v>3.9220000000000002</v>
      </c>
      <c r="C179" s="15">
        <v>4.3929999999999998</v>
      </c>
      <c r="D179" s="16">
        <v>5.400000000000027</v>
      </c>
      <c r="E179" s="16">
        <v>3.6999999999999922</v>
      </c>
      <c r="F179" s="16">
        <f t="shared" si="14"/>
        <v>1</v>
      </c>
      <c r="G179" s="16">
        <f t="shared" si="15"/>
        <v>0</v>
      </c>
      <c r="H179" s="16">
        <f t="shared" si="16"/>
        <v>0</v>
      </c>
      <c r="I179" s="22">
        <f t="shared" si="17"/>
        <v>1013.4655329600049</v>
      </c>
      <c r="J179" s="22">
        <f t="shared" si="18"/>
        <v>2726.6115972099942</v>
      </c>
      <c r="K179" s="22">
        <f t="shared" si="19"/>
        <v>25606.839224880368</v>
      </c>
      <c r="M179" s="22">
        <f t="shared" si="20"/>
        <v>-0.25000000000002004</v>
      </c>
      <c r="N179" s="22" cm="1">
        <f t="array" ref="N179">_xlfn.PERCENTILE.INC(($N$16/1000000)*$I$3:$I$523+M179*$J$3:$J$523,0.99)</f>
        <v>32989.39829629931</v>
      </c>
    </row>
    <row r="180" spans="1:14" x14ac:dyDescent="0.2">
      <c r="A180" s="19">
        <v>45814</v>
      </c>
      <c r="B180" s="15">
        <v>4.0380000000000003</v>
      </c>
      <c r="C180" s="15">
        <v>4.508</v>
      </c>
      <c r="D180" s="16">
        <v>11.60000000000001</v>
      </c>
      <c r="E180" s="16">
        <v>11.500000000000021</v>
      </c>
      <c r="F180" s="16">
        <f t="shared" si="14"/>
        <v>1</v>
      </c>
      <c r="G180" s="16">
        <f t="shared" si="15"/>
        <v>1</v>
      </c>
      <c r="H180" s="16">
        <f t="shared" si="16"/>
        <v>1</v>
      </c>
      <c r="I180" s="22">
        <f t="shared" si="17"/>
        <v>2175.459935360002</v>
      </c>
      <c r="J180" s="22">
        <f t="shared" si="18"/>
        <v>8443.6220402500148</v>
      </c>
      <c r="K180" s="22">
        <f t="shared" si="19"/>
        <v>64853.090153922501</v>
      </c>
      <c r="M180" s="22">
        <f t="shared" si="20"/>
        <v>-0.20000000000002005</v>
      </c>
      <c r="N180" s="22" cm="1">
        <f t="array" ref="N180">_xlfn.PERCENTILE.INC(($N$16/1000000)*$I$3:$I$523+M180*$J$3:$J$523,0.99)</f>
        <v>33322.385100783409</v>
      </c>
    </row>
    <row r="181" spans="1:14" x14ac:dyDescent="0.2">
      <c r="A181" s="19">
        <v>45817</v>
      </c>
      <c r="B181" s="15">
        <v>4.0039999999999996</v>
      </c>
      <c r="C181" s="15">
        <v>4.476</v>
      </c>
      <c r="D181" s="16">
        <v>-3.4000000000000696</v>
      </c>
      <c r="E181" s="16">
        <v>-3.2000000000000028</v>
      </c>
      <c r="F181" s="16">
        <f t="shared" si="14"/>
        <v>0</v>
      </c>
      <c r="G181" s="16">
        <f t="shared" si="15"/>
        <v>0</v>
      </c>
      <c r="H181" s="16">
        <f t="shared" si="16"/>
        <v>0</v>
      </c>
      <c r="I181" s="22">
        <f t="shared" si="17"/>
        <v>-638.77945264001312</v>
      </c>
      <c r="J181" s="22">
        <f t="shared" si="18"/>
        <v>-2365.7768038400022</v>
      </c>
      <c r="K181" s="22">
        <f t="shared" si="19"/>
        <v>-18609.588371037862</v>
      </c>
      <c r="M181" s="22">
        <f t="shared" si="20"/>
        <v>-0.15000000000002006</v>
      </c>
      <c r="N181" s="22" cm="1">
        <f t="array" ref="N181">_xlfn.PERCENTILE.INC(($N$16/1000000)*$I$3:$I$523+M181*$J$3:$J$523,0.99)</f>
        <v>33655.371905267515</v>
      </c>
    </row>
    <row r="182" spans="1:14" x14ac:dyDescent="0.2">
      <c r="A182" s="19">
        <v>45818</v>
      </c>
      <c r="B182" s="15">
        <v>4.0199999999999996</v>
      </c>
      <c r="C182" s="15">
        <v>4.4720000000000004</v>
      </c>
      <c r="D182" s="16">
        <v>1.6000000000000014</v>
      </c>
      <c r="E182" s="16">
        <v>-0.39999999999995595</v>
      </c>
      <c r="F182" s="16">
        <f t="shared" si="14"/>
        <v>0</v>
      </c>
      <c r="G182" s="16">
        <f t="shared" si="15"/>
        <v>0</v>
      </c>
      <c r="H182" s="16">
        <f t="shared" si="16"/>
        <v>0</v>
      </c>
      <c r="I182" s="22">
        <f t="shared" si="17"/>
        <v>300.42254336000025</v>
      </c>
      <c r="J182" s="22">
        <f t="shared" si="18"/>
        <v>-295.33526255996748</v>
      </c>
      <c r="K182" s="22">
        <f t="shared" si="19"/>
        <v>3379.3272663151643</v>
      </c>
      <c r="M182" s="22">
        <f t="shared" si="20"/>
        <v>-0.10000000000002006</v>
      </c>
      <c r="N182" s="22" cm="1">
        <f t="array" ref="N182">_xlfn.PERCENTILE.INC(($N$16/1000000)*$I$3:$I$523+M182*$J$3:$J$523,0.99)</f>
        <v>33988.358709751614</v>
      </c>
    </row>
    <row r="183" spans="1:14" x14ac:dyDescent="0.2">
      <c r="A183" s="19">
        <v>45819</v>
      </c>
      <c r="B183" s="15">
        <v>3.9540000000000002</v>
      </c>
      <c r="C183" s="15">
        <v>4.4219999999999997</v>
      </c>
      <c r="D183" s="16">
        <v>-6.5999999999999392</v>
      </c>
      <c r="E183" s="16">
        <v>-5.0000000000000711</v>
      </c>
      <c r="F183" s="16">
        <f t="shared" si="14"/>
        <v>1</v>
      </c>
      <c r="G183" s="16">
        <f t="shared" si="15"/>
        <v>1</v>
      </c>
      <c r="H183" s="16">
        <f t="shared" si="16"/>
        <v>1</v>
      </c>
      <c r="I183" s="22">
        <f t="shared" si="17"/>
        <v>-1240.4576606399885</v>
      </c>
      <c r="J183" s="22">
        <f t="shared" si="18"/>
        <v>-3699.6347750000523</v>
      </c>
      <c r="K183" s="22">
        <f t="shared" si="19"/>
        <v>-32724.815547875558</v>
      </c>
      <c r="M183" s="22">
        <f t="shared" si="20"/>
        <v>-5.0000000000020056E-2</v>
      </c>
      <c r="N183" s="22" cm="1">
        <f t="array" ref="N183">_xlfn.PERCENTILE.INC(($N$16/1000000)*$I$3:$I$523+M183*$J$3:$J$523,0.99)</f>
        <v>34321.34551423572</v>
      </c>
    </row>
    <row r="184" spans="1:14" x14ac:dyDescent="0.2">
      <c r="A184" s="19">
        <v>45820</v>
      </c>
      <c r="B184" s="15">
        <v>3.91</v>
      </c>
      <c r="C184" s="15">
        <v>4.3609999999999998</v>
      </c>
      <c r="D184" s="16">
        <v>-4.4000000000000039</v>
      </c>
      <c r="E184" s="16">
        <v>-6.0999999999999943</v>
      </c>
      <c r="F184" s="16">
        <f t="shared" si="14"/>
        <v>0</v>
      </c>
      <c r="G184" s="16">
        <f t="shared" si="15"/>
        <v>1</v>
      </c>
      <c r="H184" s="16">
        <f t="shared" si="16"/>
        <v>0</v>
      </c>
      <c r="I184" s="22">
        <f t="shared" si="17"/>
        <v>-826.75451584000064</v>
      </c>
      <c r="J184" s="22">
        <f t="shared" si="18"/>
        <v>-4515.8719991099961</v>
      </c>
      <c r="K184" s="22">
        <f t="shared" si="19"/>
        <v>-29634.061467609299</v>
      </c>
      <c r="M184" s="22">
        <f t="shared" si="20"/>
        <v>-2.005340338229189E-14</v>
      </c>
      <c r="N184" s="22" cm="1">
        <f t="array" ref="N184">_xlfn.PERCENTILE.INC(($N$16/1000000)*$I$3:$I$523+M184*$J$3:$J$523,0.99)</f>
        <v>34654.332318719818</v>
      </c>
    </row>
    <row r="185" spans="1:14" x14ac:dyDescent="0.2">
      <c r="A185" s="19">
        <v>45821</v>
      </c>
      <c r="B185" s="15">
        <v>3.9489999999999998</v>
      </c>
      <c r="C185" s="15">
        <v>4.4009999999999998</v>
      </c>
      <c r="D185" s="16">
        <v>3.8999999999999702</v>
      </c>
      <c r="E185" s="16">
        <v>4.0000000000000036</v>
      </c>
      <c r="F185" s="16">
        <f t="shared" si="14"/>
        <v>0</v>
      </c>
      <c r="G185" s="16">
        <f t="shared" si="15"/>
        <v>0</v>
      </c>
      <c r="H185" s="16">
        <f t="shared" si="16"/>
        <v>0</v>
      </c>
      <c r="I185" s="22">
        <f t="shared" si="17"/>
        <v>732.07862675999434</v>
      </c>
      <c r="J185" s="22">
        <f t="shared" si="18"/>
        <v>2947.2737440000019</v>
      </c>
      <c r="K185" s="22">
        <f t="shared" si="19"/>
        <v>22228.090992903577</v>
      </c>
      <c r="M185" s="22">
        <f t="shared" si="20"/>
        <v>4.9999999999979949E-2</v>
      </c>
      <c r="N185" s="22" cm="1">
        <f t="array" ref="N185">_xlfn.PERCENTILE.INC(($N$16/1000000)*$I$3:$I$523+M185*$J$3:$J$523,0.99)</f>
        <v>34987.319123203917</v>
      </c>
    </row>
    <row r="186" spans="1:14" x14ac:dyDescent="0.2">
      <c r="A186" s="19">
        <v>45824</v>
      </c>
      <c r="B186" s="15">
        <v>3.9689999999999999</v>
      </c>
      <c r="C186" s="15">
        <v>4.4480000000000004</v>
      </c>
      <c r="D186" s="16">
        <v>2.0000000000000018</v>
      </c>
      <c r="E186" s="16">
        <v>4.7000000000000597</v>
      </c>
      <c r="F186" s="16">
        <f t="shared" si="14"/>
        <v>0</v>
      </c>
      <c r="G186" s="16">
        <f t="shared" si="15"/>
        <v>0</v>
      </c>
      <c r="H186" s="16">
        <f t="shared" si="16"/>
        <v>0</v>
      </c>
      <c r="I186" s="22">
        <f t="shared" si="17"/>
        <v>375.51022400000028</v>
      </c>
      <c r="J186" s="22">
        <f t="shared" si="18"/>
        <v>3461.9103128100442</v>
      </c>
      <c r="K186" s="22">
        <f t="shared" si="19"/>
        <v>18843.43817601991</v>
      </c>
      <c r="M186" s="22">
        <f t="shared" si="20"/>
        <v>9.9999999999979952E-2</v>
      </c>
      <c r="N186" s="22" cm="1">
        <f t="array" ref="N186">_xlfn.PERCENTILE.INC(($N$16/1000000)*$I$3:$I$523+M186*$J$3:$J$523,0.99)</f>
        <v>35320.305927688016</v>
      </c>
    </row>
    <row r="187" spans="1:14" x14ac:dyDescent="0.2">
      <c r="A187" s="19">
        <v>45825</v>
      </c>
      <c r="B187" s="15">
        <v>3.9540000000000002</v>
      </c>
      <c r="C187" s="15">
        <v>4.391</v>
      </c>
      <c r="D187" s="16">
        <v>-1.499999999999968</v>
      </c>
      <c r="E187" s="16">
        <v>-5.7000000000000384</v>
      </c>
      <c r="F187" s="16">
        <f t="shared" si="14"/>
        <v>0</v>
      </c>
      <c r="G187" s="16">
        <f t="shared" si="15"/>
        <v>1</v>
      </c>
      <c r="H187" s="16">
        <f t="shared" si="16"/>
        <v>0</v>
      </c>
      <c r="I187" s="22">
        <f t="shared" si="17"/>
        <v>-281.75049899999397</v>
      </c>
      <c r="J187" s="22">
        <f t="shared" si="18"/>
        <v>-4218.9617535900279</v>
      </c>
      <c r="K187" s="22">
        <f t="shared" si="19"/>
        <v>-20325.980134502897</v>
      </c>
      <c r="M187" s="22">
        <f t="shared" si="20"/>
        <v>0.14999999999997995</v>
      </c>
      <c r="N187" s="22" cm="1">
        <f t="array" ref="N187">_xlfn.PERCENTILE.INC(($N$16/1000000)*$I$3:$I$523+M187*$J$3:$J$523,0.99)</f>
        <v>35653.292732172114</v>
      </c>
    </row>
    <row r="188" spans="1:14" x14ac:dyDescent="0.2">
      <c r="A188" s="19">
        <v>45826</v>
      </c>
      <c r="B188" s="15">
        <v>3.9430000000000001</v>
      </c>
      <c r="C188" s="15">
        <v>4.3929999999999998</v>
      </c>
      <c r="D188" s="16">
        <v>-1.1000000000000121</v>
      </c>
      <c r="E188" s="16">
        <v>0.19999999999997797</v>
      </c>
      <c r="F188" s="16">
        <f t="shared" si="14"/>
        <v>0</v>
      </c>
      <c r="G188" s="16">
        <f t="shared" si="15"/>
        <v>0</v>
      </c>
      <c r="H188" s="16">
        <f t="shared" si="16"/>
        <v>0</v>
      </c>
      <c r="I188" s="22">
        <f t="shared" si="17"/>
        <v>-206.60715724000224</v>
      </c>
      <c r="J188" s="22">
        <f t="shared" si="18"/>
        <v>147.62618435998374</v>
      </c>
      <c r="K188" s="22">
        <f t="shared" si="19"/>
        <v>-2535.7600796213364</v>
      </c>
      <c r="M188" s="22">
        <f t="shared" si="20"/>
        <v>0.19999999999997997</v>
      </c>
      <c r="N188" s="22" cm="1">
        <f t="array" ref="N188">_xlfn.PERCENTILE.INC(($N$16/1000000)*$I$3:$I$523+M188*$J$3:$J$523,0.99)</f>
        <v>35986.279536656213</v>
      </c>
    </row>
    <row r="189" spans="1:14" x14ac:dyDescent="0.2">
      <c r="A189" s="19">
        <v>45827</v>
      </c>
      <c r="B189" s="15">
        <v>3.9430000000000001</v>
      </c>
      <c r="C189" s="15">
        <v>4.3929999999999998</v>
      </c>
      <c r="D189" s="16">
        <v>0</v>
      </c>
      <c r="E189" s="16">
        <v>0</v>
      </c>
      <c r="F189" s="16">
        <f t="shared" si="14"/>
        <v>0</v>
      </c>
      <c r="G189" s="16">
        <f t="shared" si="15"/>
        <v>0</v>
      </c>
      <c r="H189" s="16">
        <f t="shared" si="16"/>
        <v>0</v>
      </c>
      <c r="I189" s="22">
        <f t="shared" si="17"/>
        <v>0</v>
      </c>
      <c r="J189" s="22">
        <f t="shared" si="18"/>
        <v>0</v>
      </c>
      <c r="K189" s="22">
        <f t="shared" si="19"/>
        <v>0</v>
      </c>
      <c r="M189" s="22">
        <f t="shared" si="20"/>
        <v>0.24999999999997996</v>
      </c>
      <c r="N189" s="22" cm="1">
        <f t="array" ref="N189">_xlfn.PERCENTILE.INC(($N$16/1000000)*$I$3:$I$523+M189*$J$3:$J$523,0.99)</f>
        <v>36319.266341140312</v>
      </c>
    </row>
    <row r="190" spans="1:14" x14ac:dyDescent="0.2">
      <c r="A190" s="19">
        <v>45828</v>
      </c>
      <c r="B190" s="15">
        <v>3.9089999999999998</v>
      </c>
      <c r="C190" s="15">
        <v>4.3780000000000001</v>
      </c>
      <c r="D190" s="16">
        <v>-3.4000000000000252</v>
      </c>
      <c r="E190" s="16">
        <v>-1.499999999999968</v>
      </c>
      <c r="F190" s="16">
        <f t="shared" si="14"/>
        <v>0</v>
      </c>
      <c r="G190" s="16">
        <f t="shared" si="15"/>
        <v>0</v>
      </c>
      <c r="H190" s="16">
        <f t="shared" si="16"/>
        <v>0</v>
      </c>
      <c r="I190" s="22">
        <f t="shared" si="17"/>
        <v>-638.77945264000482</v>
      </c>
      <c r="J190" s="22">
        <f t="shared" si="18"/>
        <v>-1108.0771297499762</v>
      </c>
      <c r="K190" s="22">
        <f t="shared" si="19"/>
        <v>-13810.15734704478</v>
      </c>
      <c r="M190" s="22">
        <f t="shared" si="20"/>
        <v>0.29999999999997995</v>
      </c>
      <c r="N190" s="22" cm="1">
        <f t="array" ref="N190">_xlfn.PERCENTILE.INC(($N$16/1000000)*$I$3:$I$523+M190*$J$3:$J$523,0.99)</f>
        <v>36652.253145624411</v>
      </c>
    </row>
    <row r="191" spans="1:14" x14ac:dyDescent="0.2">
      <c r="A191" s="19">
        <v>45831</v>
      </c>
      <c r="B191" s="15">
        <v>3.8639999999999999</v>
      </c>
      <c r="C191" s="15">
        <v>4.3490000000000002</v>
      </c>
      <c r="D191" s="16">
        <v>-4.4999999999999929</v>
      </c>
      <c r="E191" s="16">
        <v>-2.8999999999999915</v>
      </c>
      <c r="F191" s="16">
        <f t="shared" si="14"/>
        <v>0</v>
      </c>
      <c r="G191" s="16">
        <f t="shared" si="15"/>
        <v>0</v>
      </c>
      <c r="H191" s="16">
        <f t="shared" si="16"/>
        <v>0</v>
      </c>
      <c r="I191" s="22">
        <f t="shared" si="17"/>
        <v>-845.55449099999862</v>
      </c>
      <c r="J191" s="22">
        <f t="shared" si="18"/>
        <v>-2143.6847383099939</v>
      </c>
      <c r="K191" s="22">
        <f t="shared" si="19"/>
        <v>-20863.701959715843</v>
      </c>
      <c r="M191" s="22">
        <f t="shared" si="20"/>
        <v>0.34999999999997994</v>
      </c>
      <c r="N191" s="22" cm="1">
        <f t="array" ref="N191">_xlfn.PERCENTILE.INC(($N$16/1000000)*$I$3:$I$523+M191*$J$3:$J$523,0.99)</f>
        <v>36985.239950108509</v>
      </c>
    </row>
    <row r="192" spans="1:14" x14ac:dyDescent="0.2">
      <c r="A192" s="19">
        <v>45832</v>
      </c>
      <c r="B192" s="15">
        <v>3.8260000000000001</v>
      </c>
      <c r="C192" s="15">
        <v>4.2960000000000003</v>
      </c>
      <c r="D192" s="16">
        <v>-3.7999999999999812</v>
      </c>
      <c r="E192" s="16">
        <v>-5.2999999999999936</v>
      </c>
      <c r="F192" s="16">
        <f t="shared" si="14"/>
        <v>0</v>
      </c>
      <c r="G192" s="16">
        <f t="shared" si="15"/>
        <v>1</v>
      </c>
      <c r="H192" s="16">
        <f t="shared" si="16"/>
        <v>0</v>
      </c>
      <c r="I192" s="22">
        <f t="shared" si="17"/>
        <v>-713.96409135999647</v>
      </c>
      <c r="J192" s="22">
        <f t="shared" si="18"/>
        <v>-3922.1620331899953</v>
      </c>
      <c r="K192" s="22">
        <f t="shared" si="19"/>
        <v>-25676.584707566319</v>
      </c>
      <c r="M192" s="22">
        <f t="shared" si="20"/>
        <v>0.39999999999997993</v>
      </c>
      <c r="N192" s="22" cm="1">
        <f t="array" ref="N192">_xlfn.PERCENTILE.INC(($N$16/1000000)*$I$3:$I$523+M192*$J$3:$J$523,0.99)</f>
        <v>37372.023846751028</v>
      </c>
    </row>
    <row r="193" spans="1:14" x14ac:dyDescent="0.2">
      <c r="A193" s="19">
        <v>45833</v>
      </c>
      <c r="B193" s="15">
        <v>3.7829999999999999</v>
      </c>
      <c r="C193" s="15">
        <v>4.2930000000000001</v>
      </c>
      <c r="D193" s="16">
        <v>-4.3000000000000149</v>
      </c>
      <c r="E193" s="16">
        <v>-0.30000000000001137</v>
      </c>
      <c r="F193" s="16">
        <f t="shared" si="14"/>
        <v>0</v>
      </c>
      <c r="G193" s="16">
        <f t="shared" si="15"/>
        <v>0</v>
      </c>
      <c r="H193" s="16">
        <f t="shared" si="16"/>
        <v>0</v>
      </c>
      <c r="I193" s="22">
        <f t="shared" si="17"/>
        <v>-807.95498956000267</v>
      </c>
      <c r="J193" s="22">
        <f t="shared" si="18"/>
        <v>-221.49108519000839</v>
      </c>
      <c r="K193" s="22">
        <f t="shared" si="19"/>
        <v>-12964.543465697863</v>
      </c>
      <c r="M193" s="22">
        <f t="shared" si="20"/>
        <v>0.44999999999997992</v>
      </c>
      <c r="N193" s="22" cm="1">
        <f t="array" ref="N193">_xlfn.PERCENTILE.INC(($N$16/1000000)*$I$3:$I$523+M193*$J$3:$J$523,0.99)</f>
        <v>37774.942808719949</v>
      </c>
    </row>
    <row r="194" spans="1:14" x14ac:dyDescent="0.2">
      <c r="A194" s="19">
        <v>45834</v>
      </c>
      <c r="B194" s="15">
        <v>3.72</v>
      </c>
      <c r="C194" s="15">
        <v>4.2430000000000003</v>
      </c>
      <c r="D194" s="16">
        <v>-6.2999999999999723</v>
      </c>
      <c r="E194" s="16">
        <v>-4.9999999999999822</v>
      </c>
      <c r="F194" s="16">
        <f t="shared" si="14"/>
        <v>1</v>
      </c>
      <c r="G194" s="16">
        <f t="shared" si="15"/>
        <v>1</v>
      </c>
      <c r="H194" s="16">
        <f t="shared" si="16"/>
        <v>1</v>
      </c>
      <c r="I194" s="22">
        <f t="shared" si="17"/>
        <v>-1184.0308023599948</v>
      </c>
      <c r="J194" s="22">
        <f t="shared" si="18"/>
        <v>-3699.6347749999868</v>
      </c>
      <c r="K194" s="22">
        <f t="shared" si="19"/>
        <v>-31878.412673675408</v>
      </c>
      <c r="M194" s="22">
        <f t="shared" si="20"/>
        <v>0.4999999999999799</v>
      </c>
      <c r="N194" s="22" cm="1">
        <f t="array" ref="N194">_xlfn.PERCENTILE.INC(($N$16/1000000)*$I$3:$I$523+M194*$J$3:$J$523,0.99)</f>
        <v>38177.861770688869</v>
      </c>
    </row>
    <row r="195" spans="1:14" x14ac:dyDescent="0.2">
      <c r="A195" s="19">
        <v>45835</v>
      </c>
      <c r="B195" s="15">
        <v>3.7490000000000001</v>
      </c>
      <c r="C195" s="15">
        <v>4.2789999999999999</v>
      </c>
      <c r="D195" s="16">
        <v>2.8999999999999915</v>
      </c>
      <c r="E195" s="16">
        <v>3.5999999999999588</v>
      </c>
      <c r="F195" s="16">
        <f t="shared" si="14"/>
        <v>0</v>
      </c>
      <c r="G195" s="16">
        <f t="shared" si="15"/>
        <v>0</v>
      </c>
      <c r="H195" s="16">
        <f t="shared" si="16"/>
        <v>0</v>
      </c>
      <c r="I195" s="22">
        <f t="shared" si="17"/>
        <v>544.43124595999825</v>
      </c>
      <c r="J195" s="22">
        <f t="shared" si="18"/>
        <v>2653.0437326399692</v>
      </c>
      <c r="K195" s="22">
        <f t="shared" si="19"/>
        <v>18290.587078517819</v>
      </c>
      <c r="M195" s="22">
        <f t="shared" si="20"/>
        <v>0.54999999999997995</v>
      </c>
      <c r="N195" s="22" cm="1">
        <f t="array" ref="N195">_xlfn.PERCENTILE.INC(($N$16/1000000)*$I$3:$I$523+M195*$J$3:$J$523,0.99)</f>
        <v>38767.39857110953</v>
      </c>
    </row>
    <row r="196" spans="1:14" x14ac:dyDescent="0.2">
      <c r="A196" s="19">
        <v>45838</v>
      </c>
      <c r="B196" s="15">
        <v>3.7210000000000001</v>
      </c>
      <c r="C196" s="15">
        <v>4.2300000000000004</v>
      </c>
      <c r="D196" s="16">
        <v>-2.8000000000000025</v>
      </c>
      <c r="E196" s="16">
        <v>-4.8999999999999488</v>
      </c>
      <c r="F196" s="16">
        <f t="shared" ref="F196:F259" si="21">IF(ABS(D196-$N$2)&gt;$N$3,1,0)</f>
        <v>0</v>
      </c>
      <c r="G196" s="16">
        <f t="shared" ref="G196:G259" si="22">IF(ABS(E196-$O$2)&gt;$O$3,1,0)</f>
        <v>1</v>
      </c>
      <c r="H196" s="16">
        <f t="shared" ref="H196:H259" si="23">IF(AND(F196=1,G196=1),1,0)</f>
        <v>0</v>
      </c>
      <c r="I196" s="22">
        <f t="shared" ref="I196:I259" si="24">(1000000/100)*($N$11*D196/100-0.5*$N$19*(D196/100)^2)</f>
        <v>-526.01596096000048</v>
      </c>
      <c r="J196" s="22">
        <f t="shared" ref="J196:J259" si="25">(1000000/100)*($O$11*E196/100-0.5*$O$19*(E196/100)^2)</f>
        <v>-3625.472837909962</v>
      </c>
      <c r="K196" s="22">
        <f t="shared" ref="K196:K259" si="26">($N$16/1000000)*I196+($O$16/1000000)*J196</f>
        <v>-21725.185207399685</v>
      </c>
      <c r="M196" s="22">
        <f t="shared" si="20"/>
        <v>0.59999999999997999</v>
      </c>
      <c r="N196" s="22" cm="1">
        <f t="array" ref="N196">_xlfn.PERCENTILE.INC(($N$16/1000000)*$I$3:$I$523+M196*$J$3:$J$523,0.99)</f>
        <v>38977.912290883141</v>
      </c>
    </row>
    <row r="197" spans="1:14" x14ac:dyDescent="0.2">
      <c r="A197" s="19">
        <v>45839</v>
      </c>
      <c r="B197" s="15">
        <v>3.7730000000000001</v>
      </c>
      <c r="C197" s="15">
        <v>4.2430000000000003</v>
      </c>
      <c r="D197" s="16">
        <v>5.2000000000000046</v>
      </c>
      <c r="E197" s="16">
        <v>1.2999999999999901</v>
      </c>
      <c r="F197" s="16">
        <f t="shared" si="21"/>
        <v>1</v>
      </c>
      <c r="G197" s="16">
        <f t="shared" si="22"/>
        <v>0</v>
      </c>
      <c r="H197" s="16">
        <f t="shared" si="23"/>
        <v>0</v>
      </c>
      <c r="I197" s="22">
        <f t="shared" si="24"/>
        <v>975.95311424000079</v>
      </c>
      <c r="J197" s="22">
        <f t="shared" si="25"/>
        <v>959.07628920999252</v>
      </c>
      <c r="K197" s="22">
        <f t="shared" si="26"/>
        <v>18299.169250452556</v>
      </c>
      <c r="M197" s="22">
        <f t="shared" si="20"/>
        <v>0.64999999999998004</v>
      </c>
      <c r="N197" s="22" cm="1">
        <f t="array" ref="N197">_xlfn.PERCENTILE.INC(($N$16/1000000)*$I$3:$I$523+M197*$J$3:$J$523,0.99)</f>
        <v>39188.426010656745</v>
      </c>
    </row>
    <row r="198" spans="1:14" x14ac:dyDescent="0.2">
      <c r="A198" s="19">
        <v>45840</v>
      </c>
      <c r="B198" s="15">
        <v>3.786</v>
      </c>
      <c r="C198" s="15">
        <v>4.2789999999999999</v>
      </c>
      <c r="D198" s="16">
        <v>1.2999999999999901</v>
      </c>
      <c r="E198" s="16">
        <v>3.5999999999999588</v>
      </c>
      <c r="F198" s="16">
        <f t="shared" si="21"/>
        <v>0</v>
      </c>
      <c r="G198" s="16">
        <f t="shared" si="22"/>
        <v>0</v>
      </c>
      <c r="H198" s="16">
        <f t="shared" si="23"/>
        <v>0</v>
      </c>
      <c r="I198" s="22">
        <f t="shared" si="24"/>
        <v>244.10206963999812</v>
      </c>
      <c r="J198" s="22">
        <f t="shared" si="25"/>
        <v>2653.0437326399692</v>
      </c>
      <c r="K198" s="22">
        <f t="shared" si="26"/>
        <v>13785.649433717816</v>
      </c>
      <c r="M198" s="22">
        <f t="shared" si="20"/>
        <v>0.69999999999998008</v>
      </c>
      <c r="N198" s="22" cm="1">
        <f t="array" ref="N198">_xlfn.PERCENTILE.INC(($N$16/1000000)*$I$3:$I$523+M198*$J$3:$J$523,0.99)</f>
        <v>39482.318549132491</v>
      </c>
    </row>
    <row r="199" spans="1:14" x14ac:dyDescent="0.2">
      <c r="A199" s="19">
        <v>45841</v>
      </c>
      <c r="B199" s="15">
        <v>3.883</v>
      </c>
      <c r="C199" s="15">
        <v>4.3479999999999999</v>
      </c>
      <c r="D199" s="16">
        <v>9.6999999999999975</v>
      </c>
      <c r="E199" s="16">
        <v>6.899999999999995</v>
      </c>
      <c r="F199" s="16">
        <f t="shared" si="21"/>
        <v>1</v>
      </c>
      <c r="G199" s="16">
        <f t="shared" si="22"/>
        <v>1</v>
      </c>
      <c r="H199" s="16">
        <f t="shared" si="23"/>
        <v>1</v>
      </c>
      <c r="I199" s="22">
        <f t="shared" si="24"/>
        <v>1819.5482440399994</v>
      </c>
      <c r="J199" s="22">
        <f t="shared" si="25"/>
        <v>5077.1359344899956</v>
      </c>
      <c r="K199" s="22">
        <f t="shared" si="26"/>
        <v>46667.772465068047</v>
      </c>
      <c r="M199" s="22">
        <f t="shared" si="20"/>
        <v>0.74999999999998013</v>
      </c>
      <c r="N199" s="22" cm="1">
        <f t="array" ref="N199">_xlfn.PERCENTILE.INC(($N$16/1000000)*$I$3:$I$523+M199*$J$3:$J$523,0.99)</f>
        <v>39783.040353913384</v>
      </c>
    </row>
    <row r="200" spans="1:14" x14ac:dyDescent="0.2">
      <c r="A200" s="19">
        <v>45842</v>
      </c>
      <c r="B200" s="15">
        <v>3.883</v>
      </c>
      <c r="C200" s="15">
        <v>4.3479999999999999</v>
      </c>
      <c r="D200" s="16">
        <v>0</v>
      </c>
      <c r="E200" s="16">
        <v>0</v>
      </c>
      <c r="F200" s="16">
        <f t="shared" si="21"/>
        <v>0</v>
      </c>
      <c r="G200" s="16">
        <f t="shared" si="22"/>
        <v>0</v>
      </c>
      <c r="H200" s="16">
        <f t="shared" si="23"/>
        <v>0</v>
      </c>
      <c r="I200" s="22">
        <f t="shared" si="24"/>
        <v>0</v>
      </c>
      <c r="J200" s="22">
        <f t="shared" si="25"/>
        <v>0</v>
      </c>
      <c r="K200" s="22">
        <f t="shared" si="26"/>
        <v>0</v>
      </c>
      <c r="M200" s="22">
        <f t="shared" si="20"/>
        <v>0.79999999999998017</v>
      </c>
      <c r="N200" s="22" cm="1">
        <f t="array" ref="N200">_xlfn.PERCENTILE.INC(($N$16/1000000)*$I$3:$I$523+M200*$J$3:$J$523,0.99)</f>
        <v>40083.762158694277</v>
      </c>
    </row>
    <row r="201" spans="1:14" x14ac:dyDescent="0.2">
      <c r="A201" s="19">
        <v>45845</v>
      </c>
      <c r="B201" s="15">
        <v>3.8959999999999999</v>
      </c>
      <c r="C201" s="15">
        <v>4.3810000000000002</v>
      </c>
      <c r="D201" s="16">
        <v>1.2999999999999901</v>
      </c>
      <c r="E201" s="16">
        <v>3.3000000000000362</v>
      </c>
      <c r="F201" s="16">
        <f t="shared" si="21"/>
        <v>0</v>
      </c>
      <c r="G201" s="16">
        <f t="shared" si="22"/>
        <v>0</v>
      </c>
      <c r="H201" s="16">
        <f t="shared" si="23"/>
        <v>0</v>
      </c>
      <c r="I201" s="22">
        <f t="shared" si="24"/>
        <v>244.10206963999812</v>
      </c>
      <c r="J201" s="22">
        <f t="shared" si="25"/>
        <v>2432.2986920100266</v>
      </c>
      <c r="K201" s="22">
        <f t="shared" si="26"/>
        <v>12943.27774656725</v>
      </c>
      <c r="M201" s="22">
        <f t="shared" si="20"/>
        <v>0.84999999999998022</v>
      </c>
      <c r="N201" s="22" cm="1">
        <f t="array" ref="N201">_xlfn.PERCENTILE.INC(($N$16/1000000)*$I$3:$I$523+M201*$J$3:$J$523,0.99)</f>
        <v>40384.48396347517</v>
      </c>
    </row>
    <row r="202" spans="1:14" x14ac:dyDescent="0.2">
      <c r="A202" s="19">
        <v>45846</v>
      </c>
      <c r="B202" s="15">
        <v>3.8929999999999998</v>
      </c>
      <c r="C202" s="15">
        <v>4.4009999999999998</v>
      </c>
      <c r="D202" s="16">
        <v>-0.30000000000001137</v>
      </c>
      <c r="E202" s="16">
        <v>1.9999999999999574</v>
      </c>
      <c r="F202" s="16">
        <f t="shared" si="21"/>
        <v>0</v>
      </c>
      <c r="G202" s="16">
        <f t="shared" si="22"/>
        <v>0</v>
      </c>
      <c r="H202" s="16">
        <f t="shared" si="23"/>
        <v>0</v>
      </c>
      <c r="I202" s="22">
        <f t="shared" si="24"/>
        <v>-56.342019960002141</v>
      </c>
      <c r="J202" s="22">
        <f t="shared" si="25"/>
        <v>1475.0184359999685</v>
      </c>
      <c r="K202" s="22">
        <f t="shared" si="26"/>
        <v>4783.5975984757624</v>
      </c>
      <c r="M202" s="22">
        <f t="shared" si="20"/>
        <v>0.89999999999998026</v>
      </c>
      <c r="N202" s="22" cm="1">
        <f t="array" ref="N202">_xlfn.PERCENTILE.INC(($N$16/1000000)*$I$3:$I$523+M202*$J$3:$J$523,0.99)</f>
        <v>40712.852696924849</v>
      </c>
    </row>
    <row r="203" spans="1:14" x14ac:dyDescent="0.2">
      <c r="A203" s="19">
        <v>45847</v>
      </c>
      <c r="B203" s="15">
        <v>3.8450000000000002</v>
      </c>
      <c r="C203" s="15">
        <v>4.3330000000000002</v>
      </c>
      <c r="D203" s="16">
        <v>-4.7999999999999599</v>
      </c>
      <c r="E203" s="16">
        <v>-6.7999999999999616</v>
      </c>
      <c r="F203" s="16">
        <f t="shared" si="21"/>
        <v>1</v>
      </c>
      <c r="G203" s="16">
        <f t="shared" si="22"/>
        <v>1</v>
      </c>
      <c r="H203" s="16">
        <f t="shared" si="23"/>
        <v>1</v>
      </c>
      <c r="I203" s="22">
        <f t="shared" si="24"/>
        <v>-901.95710975999236</v>
      </c>
      <c r="J203" s="22">
        <f t="shared" si="25"/>
        <v>-5035.7308798399717</v>
      </c>
      <c r="K203" s="22">
        <f t="shared" si="26"/>
        <v>-32745.902146954206</v>
      </c>
      <c r="M203" s="22">
        <f t="shared" si="20"/>
        <v>0.9499999999999803</v>
      </c>
      <c r="N203" s="22" cm="1">
        <f t="array" ref="N203">_xlfn.PERCENTILE.INC(($N$16/1000000)*$I$3:$I$523+M203*$J$3:$J$523,0.99)</f>
        <v>41061.921850487357</v>
      </c>
    </row>
    <row r="204" spans="1:14" x14ac:dyDescent="0.2">
      <c r="A204" s="19">
        <v>45848</v>
      </c>
      <c r="B204" s="15">
        <v>3.8730000000000002</v>
      </c>
      <c r="C204" s="15">
        <v>4.351</v>
      </c>
      <c r="D204" s="16">
        <v>2.8000000000000025</v>
      </c>
      <c r="E204" s="16">
        <v>1.7999999999999794</v>
      </c>
      <c r="F204" s="16">
        <f t="shared" si="21"/>
        <v>0</v>
      </c>
      <c r="G204" s="16">
        <f t="shared" si="22"/>
        <v>0</v>
      </c>
      <c r="H204" s="16">
        <f t="shared" si="23"/>
        <v>0</v>
      </c>
      <c r="I204" s="22">
        <f t="shared" si="24"/>
        <v>525.66403904000049</v>
      </c>
      <c r="J204" s="22">
        <f t="shared" si="25"/>
        <v>1327.6409331599848</v>
      </c>
      <c r="K204" s="22">
        <f t="shared" si="26"/>
        <v>12951.290182879438</v>
      </c>
      <c r="M204" s="22">
        <f t="shared" si="20"/>
        <v>0.99999999999998035</v>
      </c>
      <c r="N204" s="22" cm="1">
        <f t="array" ref="N204">_xlfn.PERCENTILE.INC(($N$16/1000000)*$I$3:$I$523+M204*$J$3:$J$523,0.99)</f>
        <v>41410.991004049865</v>
      </c>
    </row>
    <row r="205" spans="1:14" x14ac:dyDescent="0.2">
      <c r="A205" s="19">
        <v>45849</v>
      </c>
      <c r="B205" s="15">
        <v>3.887</v>
      </c>
      <c r="C205" s="15">
        <v>4.4109999999999996</v>
      </c>
      <c r="D205" s="16">
        <v>1.399999999999979</v>
      </c>
      <c r="E205" s="16">
        <v>5.9999999999999609</v>
      </c>
      <c r="F205" s="16">
        <f t="shared" si="21"/>
        <v>0</v>
      </c>
      <c r="G205" s="16">
        <f t="shared" si="22"/>
        <v>1</v>
      </c>
      <c r="H205" s="16">
        <f t="shared" si="23"/>
        <v>0</v>
      </c>
      <c r="I205" s="22">
        <f t="shared" si="24"/>
        <v>262.87600975999607</v>
      </c>
      <c r="J205" s="22">
        <f t="shared" si="25"/>
        <v>4416.7659239999712</v>
      </c>
      <c r="K205" s="22">
        <f t="shared" si="26"/>
        <v>20797.69122728306</v>
      </c>
      <c r="M205" s="22">
        <f t="shared" si="20"/>
        <v>1.0499999999999803</v>
      </c>
      <c r="N205" s="22" cm="1">
        <f t="array" ref="N205">_xlfn.PERCENTILE.INC(($N$16/1000000)*$I$3:$I$523+M205*$J$3:$J$523,0.99)</f>
        <v>41760.060157612366</v>
      </c>
    </row>
    <row r="206" spans="1:14" x14ac:dyDescent="0.2">
      <c r="A206" s="19">
        <v>45852</v>
      </c>
      <c r="B206" s="15">
        <v>3.9009999999999998</v>
      </c>
      <c r="C206" s="15">
        <v>4.4349999999999996</v>
      </c>
      <c r="D206" s="16">
        <v>1.399999999999979</v>
      </c>
      <c r="E206" s="16">
        <v>2.4000000000000021</v>
      </c>
      <c r="F206" s="16">
        <f t="shared" si="21"/>
        <v>0</v>
      </c>
      <c r="G206" s="16">
        <f t="shared" si="22"/>
        <v>0</v>
      </c>
      <c r="H206" s="16">
        <f t="shared" si="23"/>
        <v>0</v>
      </c>
      <c r="I206" s="22">
        <f t="shared" si="24"/>
        <v>262.87600975999607</v>
      </c>
      <c r="J206" s="22">
        <f t="shared" si="25"/>
        <v>1769.6905478400013</v>
      </c>
      <c r="K206" s="22">
        <f t="shared" si="26"/>
        <v>10696.348319341261</v>
      </c>
      <c r="M206" s="22">
        <f t="shared" si="20"/>
        <v>1.0999999999999803</v>
      </c>
      <c r="N206" s="22" cm="1">
        <f t="array" ref="N206">_xlfn.PERCENTILE.INC(($N$16/1000000)*$I$3:$I$523+M206*$J$3:$J$523,0.99)</f>
        <v>42109.129311174875</v>
      </c>
    </row>
    <row r="207" spans="1:14" x14ac:dyDescent="0.2">
      <c r="A207" s="19">
        <v>45853</v>
      </c>
      <c r="B207" s="15">
        <v>3.9420000000000002</v>
      </c>
      <c r="C207" s="15">
        <v>4.4829999999999997</v>
      </c>
      <c r="D207" s="16">
        <v>4.1000000000000369</v>
      </c>
      <c r="E207" s="16">
        <v>4.8000000000000043</v>
      </c>
      <c r="F207" s="16">
        <f t="shared" si="21"/>
        <v>0</v>
      </c>
      <c r="G207" s="16">
        <f t="shared" si="22"/>
        <v>0</v>
      </c>
      <c r="H207" s="16">
        <f t="shared" si="23"/>
        <v>0</v>
      </c>
      <c r="I207" s="22">
        <f t="shared" si="24"/>
        <v>769.60271636000698</v>
      </c>
      <c r="J207" s="22">
        <f t="shared" si="25"/>
        <v>3535.4021913600027</v>
      </c>
      <c r="K207" s="22">
        <f t="shared" si="26"/>
        <v>25035.273437165379</v>
      </c>
      <c r="M207" s="22">
        <f t="shared" si="20"/>
        <v>1.1499999999999804</v>
      </c>
      <c r="N207" s="22" cm="1">
        <f t="array" ref="N207">_xlfn.PERCENTILE.INC(($N$16/1000000)*$I$3:$I$523+M207*$J$3:$J$523,0.99)</f>
        <v>42458.198464737376</v>
      </c>
    </row>
    <row r="208" spans="1:14" x14ac:dyDescent="0.2">
      <c r="A208" s="19">
        <v>45854</v>
      </c>
      <c r="B208" s="15">
        <v>3.8940000000000001</v>
      </c>
      <c r="C208" s="15">
        <v>4.4569999999999999</v>
      </c>
      <c r="D208" s="16">
        <v>-4.8000000000000043</v>
      </c>
      <c r="E208" s="16">
        <v>-2.5999999999999801</v>
      </c>
      <c r="F208" s="16">
        <f t="shared" si="21"/>
        <v>1</v>
      </c>
      <c r="G208" s="16">
        <f t="shared" si="22"/>
        <v>0</v>
      </c>
      <c r="H208" s="16">
        <f t="shared" si="23"/>
        <v>0</v>
      </c>
      <c r="I208" s="22">
        <f t="shared" si="24"/>
        <v>-901.95710976000066</v>
      </c>
      <c r="J208" s="22">
        <f t="shared" si="25"/>
        <v>-1921.6548431599854</v>
      </c>
      <c r="K208" s="22">
        <f t="shared" si="26"/>
        <v>-20862.466498989659</v>
      </c>
      <c r="M208" s="22">
        <f t="shared" si="20"/>
        <v>1.1999999999999804</v>
      </c>
      <c r="N208" s="22" cm="1">
        <f t="array" ref="N208">_xlfn.PERCENTILE.INC(($N$16/1000000)*$I$3:$I$523+M208*$J$3:$J$523,0.99)</f>
        <v>42807.267618299877</v>
      </c>
    </row>
    <row r="209" spans="1:14" x14ac:dyDescent="0.2">
      <c r="A209" s="19">
        <v>45855</v>
      </c>
      <c r="B209" s="15">
        <v>3.9060000000000001</v>
      </c>
      <c r="C209" s="15">
        <v>4.4530000000000003</v>
      </c>
      <c r="D209" s="16">
        <v>1.2000000000000011</v>
      </c>
      <c r="E209" s="16">
        <v>-0.39999999999995595</v>
      </c>
      <c r="F209" s="16">
        <f t="shared" si="21"/>
        <v>0</v>
      </c>
      <c r="G209" s="16">
        <f t="shared" si="22"/>
        <v>0</v>
      </c>
      <c r="H209" s="16">
        <f t="shared" si="23"/>
        <v>0</v>
      </c>
      <c r="I209" s="22">
        <f t="shared" si="24"/>
        <v>225.32768064000018</v>
      </c>
      <c r="J209" s="22">
        <f t="shared" si="25"/>
        <v>-295.33526255996748</v>
      </c>
      <c r="K209" s="22">
        <f t="shared" si="26"/>
        <v>2252.9043255151632</v>
      </c>
      <c r="M209" s="22">
        <f t="shared" si="20"/>
        <v>1.2499999999999805</v>
      </c>
      <c r="N209" s="22" cm="1">
        <f t="array" ref="N209">_xlfn.PERCENTILE.INC(($N$16/1000000)*$I$3:$I$523+M209*$J$3:$J$523,0.99)</f>
        <v>43178.904128499882</v>
      </c>
    </row>
    <row r="210" spans="1:14" x14ac:dyDescent="0.2">
      <c r="A210" s="19">
        <v>45856</v>
      </c>
      <c r="B210" s="15">
        <v>3.871</v>
      </c>
      <c r="C210" s="15">
        <v>4.4180000000000001</v>
      </c>
      <c r="D210" s="16">
        <v>-3.5000000000000142</v>
      </c>
      <c r="E210" s="16">
        <v>-3.5000000000000142</v>
      </c>
      <c r="F210" s="16">
        <f t="shared" si="21"/>
        <v>0</v>
      </c>
      <c r="G210" s="16">
        <f t="shared" si="22"/>
        <v>0</v>
      </c>
      <c r="H210" s="16">
        <f t="shared" si="23"/>
        <v>0</v>
      </c>
      <c r="I210" s="22">
        <f t="shared" si="24"/>
        <v>-657.57493900000259</v>
      </c>
      <c r="J210" s="22">
        <f t="shared" si="25"/>
        <v>-2587.9310397500103</v>
      </c>
      <c r="K210" s="22">
        <f t="shared" si="26"/>
        <v>-19739.26989775509</v>
      </c>
      <c r="M210" s="22">
        <f t="shared" si="20"/>
        <v>1.2999999999999805</v>
      </c>
      <c r="N210" s="22" cm="1">
        <f t="array" ref="N210">_xlfn.PERCENTILE.INC(($N$16/1000000)*$I$3:$I$523+M210*$J$3:$J$523,0.99)</f>
        <v>43582.807243399875</v>
      </c>
    </row>
    <row r="211" spans="1:14" x14ac:dyDescent="0.2">
      <c r="A211" s="19">
        <v>45859</v>
      </c>
      <c r="B211" s="15">
        <v>3.8620000000000001</v>
      </c>
      <c r="C211" s="15">
        <v>4.3789999999999996</v>
      </c>
      <c r="D211" s="16">
        <v>-0.8999999999999897</v>
      </c>
      <c r="E211" s="16">
        <v>-3.900000000000059</v>
      </c>
      <c r="F211" s="16">
        <f t="shared" si="21"/>
        <v>0</v>
      </c>
      <c r="G211" s="16">
        <f t="shared" si="22"/>
        <v>0</v>
      </c>
      <c r="H211" s="16">
        <f t="shared" si="23"/>
        <v>0</v>
      </c>
      <c r="I211" s="22">
        <f t="shared" si="24"/>
        <v>-169.03817963999805</v>
      </c>
      <c r="J211" s="22">
        <f t="shared" si="25"/>
        <v>-2884.2333971100429</v>
      </c>
      <c r="K211" s="22">
        <f t="shared" si="26"/>
        <v>-13541.919862926969</v>
      </c>
      <c r="M211" s="22">
        <f t="shared" si="20"/>
        <v>1.3499999999999805</v>
      </c>
      <c r="N211" s="22" cm="1">
        <f t="array" ref="N211">_xlfn.PERCENTILE.INC(($N$16/1000000)*$I$3:$I$523+M211*$J$3:$J$523,0.99)</f>
        <v>43986.710358299875</v>
      </c>
    </row>
    <row r="212" spans="1:14" x14ac:dyDescent="0.2">
      <c r="A212" s="19">
        <v>45860</v>
      </c>
      <c r="B212" s="15">
        <v>3.8340000000000001</v>
      </c>
      <c r="C212" s="15">
        <v>4.3460000000000001</v>
      </c>
      <c r="D212" s="16">
        <v>-2.8000000000000025</v>
      </c>
      <c r="E212" s="16">
        <v>-3.2999999999999474</v>
      </c>
      <c r="F212" s="16">
        <f t="shared" si="21"/>
        <v>0</v>
      </c>
      <c r="G212" s="16">
        <f t="shared" si="22"/>
        <v>0</v>
      </c>
      <c r="H212" s="16">
        <f t="shared" si="23"/>
        <v>0</v>
      </c>
      <c r="I212" s="22">
        <f t="shared" si="24"/>
        <v>-526.01596096000048</v>
      </c>
      <c r="J212" s="22">
        <f t="shared" si="25"/>
        <v>-2439.821307989961</v>
      </c>
      <c r="K212" s="22">
        <f t="shared" si="26"/>
        <v>-17200.692712432679</v>
      </c>
      <c r="M212" s="22">
        <f t="shared" si="20"/>
        <v>1.3999999999999806</v>
      </c>
      <c r="N212" s="22" cm="1">
        <f t="array" ref="N212">_xlfn.PERCENTILE.INC(($N$16/1000000)*$I$3:$I$523+M212*$J$3:$J$523,0.99)</f>
        <v>44390.613473199875</v>
      </c>
    </row>
    <row r="213" spans="1:14" x14ac:dyDescent="0.2">
      <c r="A213" s="19">
        <v>45861</v>
      </c>
      <c r="B213" s="15">
        <v>3.8809999999999998</v>
      </c>
      <c r="C213" s="15">
        <v>4.383</v>
      </c>
      <c r="D213" s="16">
        <v>4.6999999999999709</v>
      </c>
      <c r="E213" s="16">
        <v>3.6999999999999922</v>
      </c>
      <c r="F213" s="16">
        <f t="shared" si="21"/>
        <v>0</v>
      </c>
      <c r="G213" s="16">
        <f t="shared" si="22"/>
        <v>0</v>
      </c>
      <c r="H213" s="16">
        <f t="shared" si="23"/>
        <v>0</v>
      </c>
      <c r="I213" s="22">
        <f t="shared" si="24"/>
        <v>882.16421203999448</v>
      </c>
      <c r="J213" s="22">
        <f t="shared" si="25"/>
        <v>2726.6115972099942</v>
      </c>
      <c r="K213" s="22">
        <f t="shared" si="26"/>
        <v>23637.319411080214</v>
      </c>
      <c r="M213" s="22">
        <f t="shared" si="20"/>
        <v>1.4499999999999806</v>
      </c>
      <c r="N213" s="22" cm="1">
        <f t="array" ref="N213">_xlfn.PERCENTILE.INC(($N$16/1000000)*$I$3:$I$523+M213*$J$3:$J$523,0.99)</f>
        <v>44820.413836731939</v>
      </c>
    </row>
    <row r="214" spans="1:14" x14ac:dyDescent="0.2">
      <c r="A214" s="19">
        <v>45862</v>
      </c>
      <c r="B214" s="15">
        <v>3.9169999999999998</v>
      </c>
      <c r="C214" s="15">
        <v>4.3979999999999997</v>
      </c>
      <c r="D214" s="16">
        <v>3.6000000000000032</v>
      </c>
      <c r="E214" s="16">
        <v>1.499999999999968</v>
      </c>
      <c r="F214" s="16">
        <f t="shared" si="21"/>
        <v>0</v>
      </c>
      <c r="G214" s="16">
        <f t="shared" si="22"/>
        <v>0</v>
      </c>
      <c r="H214" s="16">
        <f t="shared" si="23"/>
        <v>0</v>
      </c>
      <c r="I214" s="22">
        <f t="shared" si="24"/>
        <v>675.78912576000062</v>
      </c>
      <c r="J214" s="22">
        <f t="shared" si="25"/>
        <v>1106.5228702499764</v>
      </c>
      <c r="K214" s="22">
        <f t="shared" si="26"/>
        <v>14359.371328955121</v>
      </c>
      <c r="M214" s="22">
        <f t="shared" si="20"/>
        <v>1.4999999999999807</v>
      </c>
      <c r="N214" s="22" cm="1">
        <f t="array" ref="N214">_xlfn.PERCENTILE.INC(($N$16/1000000)*$I$3:$I$523+M214*$J$3:$J$523,0.99)</f>
        <v>45254.270192846845</v>
      </c>
    </row>
    <row r="215" spans="1:14" x14ac:dyDescent="0.2">
      <c r="A215" s="19">
        <v>45863</v>
      </c>
      <c r="B215" s="15">
        <v>3.9249999999999998</v>
      </c>
      <c r="C215" s="15">
        <v>4.3899999999999997</v>
      </c>
      <c r="D215" s="16">
        <v>0.80000000000000071</v>
      </c>
      <c r="E215" s="16">
        <v>-0.80000000000000071</v>
      </c>
      <c r="F215" s="16">
        <f t="shared" si="21"/>
        <v>0</v>
      </c>
      <c r="G215" s="16">
        <f t="shared" si="22"/>
        <v>0</v>
      </c>
      <c r="H215" s="16">
        <f t="shared" si="23"/>
        <v>0</v>
      </c>
      <c r="I215" s="22">
        <f t="shared" si="24"/>
        <v>150.22563584000014</v>
      </c>
      <c r="J215" s="22">
        <f t="shared" si="25"/>
        <v>-590.78105024000047</v>
      </c>
      <c r="K215" s="22">
        <f t="shared" si="26"/>
        <v>-1.0589987398529956</v>
      </c>
      <c r="M215" s="22">
        <f t="shared" si="20"/>
        <v>1.5499999999999807</v>
      </c>
      <c r="N215" s="22" cm="1">
        <f t="array" ref="N215">_xlfn.PERCENTILE.INC(($N$16/1000000)*$I$3:$I$523+M215*$J$3:$J$523,0.99)</f>
        <v>45688.126548961751</v>
      </c>
    </row>
    <row r="216" spans="1:14" x14ac:dyDescent="0.2">
      <c r="A216" s="19">
        <v>45866</v>
      </c>
      <c r="B216" s="15">
        <v>3.9279999999999999</v>
      </c>
      <c r="C216" s="15">
        <v>4.4119999999999999</v>
      </c>
      <c r="D216" s="16">
        <v>0.30000000000001137</v>
      </c>
      <c r="E216" s="16">
        <v>2.2000000000000242</v>
      </c>
      <c r="F216" s="16">
        <f t="shared" si="21"/>
        <v>0</v>
      </c>
      <c r="G216" s="16">
        <f t="shared" si="22"/>
        <v>0</v>
      </c>
      <c r="H216" s="16">
        <f t="shared" si="23"/>
        <v>0</v>
      </c>
      <c r="I216" s="22">
        <f t="shared" si="24"/>
        <v>56.33798004000213</v>
      </c>
      <c r="J216" s="22">
        <f t="shared" si="25"/>
        <v>1622.3683075600179</v>
      </c>
      <c r="K216" s="22">
        <f t="shared" si="26"/>
        <v>7036.0904570299563</v>
      </c>
      <c r="M216" s="22">
        <f t="shared" si="20"/>
        <v>1.5999999999999808</v>
      </c>
      <c r="N216" s="22" cm="1">
        <f t="array" ref="N216">_xlfn.PERCENTILE.INC(($N$16/1000000)*$I$3:$I$523+M216*$J$3:$J$523,0.99)</f>
        <v>46121.982905076657</v>
      </c>
    </row>
    <row r="217" spans="1:14" x14ac:dyDescent="0.2">
      <c r="A217" s="19">
        <v>45867</v>
      </c>
      <c r="B217" s="15">
        <v>3.87</v>
      </c>
      <c r="C217" s="15">
        <v>4.3209999999999997</v>
      </c>
      <c r="D217" s="16">
        <v>-5.7999999999999829</v>
      </c>
      <c r="E217" s="16">
        <v>-9.1000000000000192</v>
      </c>
      <c r="F217" s="16">
        <f t="shared" si="21"/>
        <v>1</v>
      </c>
      <c r="G217" s="16">
        <f t="shared" si="22"/>
        <v>1</v>
      </c>
      <c r="H217" s="16">
        <f t="shared" si="23"/>
        <v>1</v>
      </c>
      <c r="I217" s="22">
        <f t="shared" si="24"/>
        <v>-1089.9950161599966</v>
      </c>
      <c r="J217" s="22">
        <f t="shared" si="25"/>
        <v>-6746.2218287100141</v>
      </c>
      <c r="K217" s="22">
        <f t="shared" si="26"/>
        <v>-42093.770936623885</v>
      </c>
      <c r="M217" s="22">
        <f t="shared" si="20"/>
        <v>1.6499999999999808</v>
      </c>
      <c r="N217" s="22" cm="1">
        <f t="array" ref="N217">_xlfn.PERCENTILE.INC(($N$16/1000000)*$I$3:$I$523+M217*$J$3:$J$523,0.99)</f>
        <v>46555.839261191555</v>
      </c>
    </row>
    <row r="218" spans="1:14" x14ac:dyDescent="0.2">
      <c r="A218" s="19">
        <v>45868</v>
      </c>
      <c r="B218" s="15">
        <v>3.9430000000000001</v>
      </c>
      <c r="C218" s="15">
        <v>4.3719999999999999</v>
      </c>
      <c r="D218" s="16">
        <v>7.2999999999999954</v>
      </c>
      <c r="E218" s="16">
        <v>5.1000000000000156</v>
      </c>
      <c r="F218" s="16">
        <f t="shared" si="21"/>
        <v>1</v>
      </c>
      <c r="G218" s="16">
        <f t="shared" si="22"/>
        <v>0</v>
      </c>
      <c r="H218" s="16">
        <f t="shared" si="23"/>
        <v>0</v>
      </c>
      <c r="I218" s="22">
        <f t="shared" si="24"/>
        <v>1369.743959239999</v>
      </c>
      <c r="J218" s="22">
        <f t="shared" si="25"/>
        <v>3755.8363800900115</v>
      </c>
      <c r="K218" s="22">
        <f t="shared" si="26"/>
        <v>34878.577544538159</v>
      </c>
      <c r="M218" s="22">
        <f t="shared" ref="M218:M281" si="27">M217+0.05</f>
        <v>1.6999999999999809</v>
      </c>
      <c r="N218" s="22" cm="1">
        <f t="array" ref="N218">_xlfn.PERCENTILE.INC(($N$16/1000000)*$I$3:$I$523+M218*$J$3:$J$523,0.99)</f>
        <v>47000.612972751158</v>
      </c>
    </row>
    <row r="219" spans="1:14" x14ac:dyDescent="0.2">
      <c r="A219" s="19">
        <v>45869</v>
      </c>
      <c r="B219" s="15">
        <v>3.9580000000000002</v>
      </c>
      <c r="C219" s="15">
        <v>4.3760000000000003</v>
      </c>
      <c r="D219" s="16">
        <v>1.5000000000000124</v>
      </c>
      <c r="E219" s="16">
        <v>0.40000000000004476</v>
      </c>
      <c r="F219" s="16">
        <f t="shared" si="21"/>
        <v>0</v>
      </c>
      <c r="G219" s="16">
        <f t="shared" si="22"/>
        <v>0</v>
      </c>
      <c r="H219" s="16">
        <f t="shared" si="23"/>
        <v>0</v>
      </c>
      <c r="I219" s="22">
        <f t="shared" si="24"/>
        <v>281.64950100000232</v>
      </c>
      <c r="J219" s="22">
        <f t="shared" si="25"/>
        <v>295.22473744003298</v>
      </c>
      <c r="K219" s="22">
        <f t="shared" si="26"/>
        <v>5351.3316309151969</v>
      </c>
      <c r="M219" s="22">
        <f t="shared" si="27"/>
        <v>1.7499999999999809</v>
      </c>
      <c r="N219" s="22" cm="1">
        <f t="array" ref="N219">_xlfn.PERCENTILE.INC(($N$16/1000000)*$I$3:$I$523+M219*$J$3:$J$523,0.99)</f>
        <v>47469.495091173252</v>
      </c>
    </row>
    <row r="220" spans="1:14" x14ac:dyDescent="0.2">
      <c r="A220" s="19">
        <v>45870</v>
      </c>
      <c r="B220" s="15">
        <v>3.6840000000000002</v>
      </c>
      <c r="C220" s="15">
        <v>4.218</v>
      </c>
      <c r="D220" s="16">
        <v>-27.400000000000002</v>
      </c>
      <c r="E220" s="16">
        <v>-15.800000000000036</v>
      </c>
      <c r="F220" s="16">
        <f t="shared" si="21"/>
        <v>1</v>
      </c>
      <c r="G220" s="16">
        <f t="shared" si="22"/>
        <v>1</v>
      </c>
      <c r="H220" s="16">
        <f t="shared" si="23"/>
        <v>1</v>
      </c>
      <c r="I220" s="22">
        <f t="shared" si="24"/>
        <v>-5162.5700574399998</v>
      </c>
      <c r="J220" s="22">
        <f t="shared" si="25"/>
        <v>-11749.783409240026</v>
      </c>
      <c r="K220" s="22">
        <f t="shared" si="26"/>
        <v>-122276.18275516428</v>
      </c>
      <c r="M220" s="22">
        <f t="shared" si="27"/>
        <v>1.7999999999999809</v>
      </c>
      <c r="N220" s="22" cm="1">
        <f t="array" ref="N220">_xlfn.PERCENTILE.INC(($N$16/1000000)*$I$3:$I$523+M220*$J$3:$J$523,0.99)</f>
        <v>47938.377209595346</v>
      </c>
    </row>
    <row r="221" spans="1:14" x14ac:dyDescent="0.2">
      <c r="A221" s="19">
        <v>45873</v>
      </c>
      <c r="B221" s="15">
        <v>3.6760000000000002</v>
      </c>
      <c r="C221" s="15">
        <v>4.194</v>
      </c>
      <c r="D221" s="16">
        <v>-0.80000000000000071</v>
      </c>
      <c r="E221" s="16">
        <v>-2.4000000000000021</v>
      </c>
      <c r="F221" s="16">
        <f t="shared" si="21"/>
        <v>0</v>
      </c>
      <c r="G221" s="16">
        <f t="shared" si="22"/>
        <v>0</v>
      </c>
      <c r="H221" s="16">
        <f t="shared" si="23"/>
        <v>0</v>
      </c>
      <c r="I221" s="22">
        <f t="shared" si="24"/>
        <v>-150.25436416000014</v>
      </c>
      <c r="J221" s="22">
        <f t="shared" si="25"/>
        <v>-1773.6694521600014</v>
      </c>
      <c r="K221" s="22">
        <f t="shared" si="26"/>
        <v>-9022.2072894586909</v>
      </c>
      <c r="M221" s="22">
        <f t="shared" si="27"/>
        <v>1.849999999999981</v>
      </c>
      <c r="N221" s="22" cm="1">
        <f t="array" ref="N221">_xlfn.PERCENTILE.INC(($N$16/1000000)*$I$3:$I$523+M221*$J$3:$J$523,0.99)</f>
        <v>48407.259328017441</v>
      </c>
    </row>
    <row r="222" spans="1:14" x14ac:dyDescent="0.2">
      <c r="A222" s="19">
        <v>45874</v>
      </c>
      <c r="B222" s="15">
        <v>3.7250000000000001</v>
      </c>
      <c r="C222" s="15">
        <v>4.2119999999999997</v>
      </c>
      <c r="D222" s="16">
        <v>4.8999999999999932</v>
      </c>
      <c r="E222" s="16">
        <v>1.7999999999999794</v>
      </c>
      <c r="F222" s="16">
        <f t="shared" si="21"/>
        <v>0</v>
      </c>
      <c r="G222" s="16">
        <f t="shared" si="22"/>
        <v>0</v>
      </c>
      <c r="H222" s="16">
        <f t="shared" si="23"/>
        <v>0</v>
      </c>
      <c r="I222" s="22">
        <f t="shared" si="24"/>
        <v>919.68111955999871</v>
      </c>
      <c r="J222" s="22">
        <f t="shared" si="25"/>
        <v>1327.6409331599848</v>
      </c>
      <c r="K222" s="22">
        <f t="shared" si="26"/>
        <v>18861.546390679414</v>
      </c>
      <c r="M222" s="22">
        <f t="shared" si="27"/>
        <v>1.899999999999981</v>
      </c>
      <c r="N222" s="22" cm="1">
        <f t="array" ref="N222">_xlfn.PERCENTILE.INC(($N$16/1000000)*$I$3:$I$523+M222*$J$3:$J$523,0.99)</f>
        <v>48876.141446439542</v>
      </c>
    </row>
    <row r="223" spans="1:14" x14ac:dyDescent="0.2">
      <c r="A223" s="19">
        <v>45875</v>
      </c>
      <c r="B223" s="15">
        <v>3.7149999999999999</v>
      </c>
      <c r="C223" s="15">
        <v>4.2290000000000001</v>
      </c>
      <c r="D223" s="16">
        <v>-1.0000000000000231</v>
      </c>
      <c r="E223" s="16">
        <v>1.7000000000000348</v>
      </c>
      <c r="F223" s="16">
        <f t="shared" si="21"/>
        <v>0</v>
      </c>
      <c r="G223" s="16">
        <f t="shared" si="22"/>
        <v>0</v>
      </c>
      <c r="H223" s="16">
        <f t="shared" si="23"/>
        <v>0</v>
      </c>
      <c r="I223" s="22">
        <f t="shared" si="24"/>
        <v>-187.82244400000431</v>
      </c>
      <c r="J223" s="22">
        <f t="shared" si="25"/>
        <v>1253.9418200100256</v>
      </c>
      <c r="K223" s="22">
        <f t="shared" si="26"/>
        <v>1967.7542462153806</v>
      </c>
      <c r="M223" s="22">
        <f t="shared" si="27"/>
        <v>1.9499999999999811</v>
      </c>
      <c r="N223" s="22" cm="1">
        <f t="array" ref="N223">_xlfn.PERCENTILE.INC(($N$16/1000000)*$I$3:$I$523+M223*$J$3:$J$523,0.99)</f>
        <v>49345.023564861636</v>
      </c>
    </row>
    <row r="224" spans="1:14" x14ac:dyDescent="0.2">
      <c r="A224" s="19">
        <v>45876</v>
      </c>
      <c r="B224" s="15">
        <v>3.73</v>
      </c>
      <c r="C224" s="15">
        <v>4.2510000000000003</v>
      </c>
      <c r="D224" s="16">
        <v>1.5000000000000124</v>
      </c>
      <c r="E224" s="16">
        <v>2.2000000000000242</v>
      </c>
      <c r="F224" s="16">
        <f t="shared" si="21"/>
        <v>0</v>
      </c>
      <c r="G224" s="16">
        <f t="shared" si="22"/>
        <v>0</v>
      </c>
      <c r="H224" s="16">
        <f t="shared" si="23"/>
        <v>0</v>
      </c>
      <c r="I224" s="22">
        <f t="shared" si="24"/>
        <v>281.64950100000232</v>
      </c>
      <c r="J224" s="22">
        <f t="shared" si="25"/>
        <v>1622.3683075600179</v>
      </c>
      <c r="K224" s="22">
        <f t="shared" si="26"/>
        <v>10415.763271429958</v>
      </c>
      <c r="M224" s="22">
        <f t="shared" si="27"/>
        <v>1.9999999999999811</v>
      </c>
      <c r="N224" s="22" cm="1">
        <f t="array" ref="N224">_xlfn.PERCENTILE.INC(($N$16/1000000)*$I$3:$I$523+M224*$J$3:$J$523,0.99)</f>
        <v>49813.90568328373</v>
      </c>
    </row>
    <row r="225" spans="1:14" x14ac:dyDescent="0.2">
      <c r="A225" s="19">
        <v>45877</v>
      </c>
      <c r="B225" s="15">
        <v>3.7639999999999998</v>
      </c>
      <c r="C225" s="15">
        <v>4.2839999999999998</v>
      </c>
      <c r="D225" s="16">
        <v>3.3999999999999808</v>
      </c>
      <c r="E225" s="16">
        <v>3.2999999999999474</v>
      </c>
      <c r="F225" s="16">
        <f t="shared" si="21"/>
        <v>0</v>
      </c>
      <c r="G225" s="16">
        <f t="shared" si="22"/>
        <v>0</v>
      </c>
      <c r="H225" s="16">
        <f t="shared" si="23"/>
        <v>0</v>
      </c>
      <c r="I225" s="22">
        <f t="shared" si="24"/>
        <v>638.26054735999628</v>
      </c>
      <c r="J225" s="22">
        <f t="shared" si="25"/>
        <v>2432.2986920099611</v>
      </c>
      <c r="K225" s="22">
        <f t="shared" si="26"/>
        <v>18855.654912366972</v>
      </c>
      <c r="M225" s="22">
        <f t="shared" si="27"/>
        <v>2.0499999999999812</v>
      </c>
      <c r="N225" s="22" cm="1">
        <f t="array" ref="N225">_xlfn.PERCENTILE.INC(($N$16/1000000)*$I$3:$I$523+M225*$J$3:$J$523,0.99)</f>
        <v>50282.787801705825</v>
      </c>
    </row>
    <row r="226" spans="1:14" x14ac:dyDescent="0.2">
      <c r="A226" s="19">
        <v>45880</v>
      </c>
      <c r="B226" s="15">
        <v>3.7690000000000001</v>
      </c>
      <c r="C226" s="15">
        <v>4.2869999999999999</v>
      </c>
      <c r="D226" s="16">
        <v>0.50000000000003375</v>
      </c>
      <c r="E226" s="16">
        <v>0.30000000000001137</v>
      </c>
      <c r="F226" s="16">
        <f t="shared" si="21"/>
        <v>0</v>
      </c>
      <c r="G226" s="16">
        <f t="shared" si="22"/>
        <v>0</v>
      </c>
      <c r="H226" s="16">
        <f t="shared" si="23"/>
        <v>0</v>
      </c>
      <c r="I226" s="22">
        <f t="shared" si="24"/>
        <v>93.894389000006342</v>
      </c>
      <c r="J226" s="22">
        <f t="shared" si="25"/>
        <v>221.42891481000837</v>
      </c>
      <c r="K226" s="22">
        <f t="shared" si="26"/>
        <v>2253.3972127023349</v>
      </c>
      <c r="M226" s="22">
        <f t="shared" si="27"/>
        <v>2.099999999999981</v>
      </c>
      <c r="N226" s="22" cm="1">
        <f t="array" ref="N226">_xlfn.PERCENTILE.INC(($N$16/1000000)*$I$3:$I$523+M226*$J$3:$J$523,0.99)</f>
        <v>50751.669920127919</v>
      </c>
    </row>
    <row r="227" spans="1:14" x14ac:dyDescent="0.2">
      <c r="A227" s="19">
        <v>45881</v>
      </c>
      <c r="B227" s="15">
        <v>3.7320000000000002</v>
      </c>
      <c r="C227" s="15">
        <v>4.2910000000000004</v>
      </c>
      <c r="D227" s="16">
        <v>-3.6999999999999922</v>
      </c>
      <c r="E227" s="16">
        <v>0.40000000000004476</v>
      </c>
      <c r="F227" s="16">
        <f t="shared" si="21"/>
        <v>0</v>
      </c>
      <c r="G227" s="16">
        <f t="shared" si="22"/>
        <v>0</v>
      </c>
      <c r="H227" s="16">
        <f t="shared" si="23"/>
        <v>0</v>
      </c>
      <c r="I227" s="22">
        <f t="shared" si="24"/>
        <v>-695.16725835999853</v>
      </c>
      <c r="J227" s="22">
        <f t="shared" si="25"/>
        <v>295.22473744003298</v>
      </c>
      <c r="K227" s="22">
        <f t="shared" si="26"/>
        <v>-9300.9197594848156</v>
      </c>
      <c r="M227" s="22">
        <f t="shared" si="27"/>
        <v>2.1499999999999808</v>
      </c>
      <c r="N227" s="22" cm="1">
        <f t="array" ref="N227">_xlfn.PERCENTILE.INC(($N$16/1000000)*$I$3:$I$523+M227*$J$3:$J$523,0.99)</f>
        <v>51220.55203855002</v>
      </c>
    </row>
    <row r="228" spans="1:14" x14ac:dyDescent="0.2">
      <c r="A228" s="19">
        <v>45882</v>
      </c>
      <c r="B228" s="15">
        <v>3.6760000000000002</v>
      </c>
      <c r="C228" s="15">
        <v>4.2350000000000003</v>
      </c>
      <c r="D228" s="16">
        <v>-5.600000000000005</v>
      </c>
      <c r="E228" s="16">
        <v>-5.600000000000005</v>
      </c>
      <c r="F228" s="16">
        <f t="shared" si="21"/>
        <v>1</v>
      </c>
      <c r="G228" s="16">
        <f t="shared" si="22"/>
        <v>1</v>
      </c>
      <c r="H228" s="16">
        <f t="shared" si="23"/>
        <v>1</v>
      </c>
      <c r="I228" s="22">
        <f t="shared" si="24"/>
        <v>-1052.383843840001</v>
      </c>
      <c r="J228" s="22">
        <f t="shared" si="25"/>
        <v>-4144.7514617600036</v>
      </c>
      <c r="K228" s="22">
        <f t="shared" si="26"/>
        <v>-31602.29093825286</v>
      </c>
      <c r="M228" s="22">
        <f t="shared" si="27"/>
        <v>2.1999999999999806</v>
      </c>
      <c r="N228" s="22" cm="1">
        <f t="array" ref="N228">_xlfn.PERCENTILE.INC(($N$16/1000000)*$I$3:$I$523+M228*$J$3:$J$523,0.99)</f>
        <v>51689.434156972107</v>
      </c>
    </row>
    <row r="229" spans="1:14" x14ac:dyDescent="0.2">
      <c r="A229" s="19">
        <v>45883</v>
      </c>
      <c r="B229" s="15">
        <v>3.7330000000000001</v>
      </c>
      <c r="C229" s="15">
        <v>4.2859999999999996</v>
      </c>
      <c r="D229" s="16">
        <v>5.699999999999994</v>
      </c>
      <c r="E229" s="16">
        <v>5.0999999999999268</v>
      </c>
      <c r="F229" s="16">
        <f t="shared" si="21"/>
        <v>1</v>
      </c>
      <c r="G229" s="16">
        <f t="shared" si="22"/>
        <v>0</v>
      </c>
      <c r="H229" s="16">
        <f t="shared" si="23"/>
        <v>0</v>
      </c>
      <c r="I229" s="22">
        <f t="shared" si="24"/>
        <v>1069.7307944399988</v>
      </c>
      <c r="J229" s="22">
        <f t="shared" si="25"/>
        <v>3755.8363800899456</v>
      </c>
      <c r="K229" s="22">
        <f t="shared" si="26"/>
        <v>30378.380072537908</v>
      </c>
      <c r="M229" s="22">
        <f t="shared" si="27"/>
        <v>2.2499999999999805</v>
      </c>
      <c r="N229" s="22" cm="1">
        <f t="array" ref="N229">_xlfn.PERCENTILE.INC(($N$16/1000000)*$I$3:$I$523+M229*$J$3:$J$523,0.99)</f>
        <v>52158.316275394202</v>
      </c>
    </row>
    <row r="230" spans="1:14" x14ac:dyDescent="0.2">
      <c r="A230" s="19">
        <v>45884</v>
      </c>
      <c r="B230" s="15">
        <v>3.7519999999999998</v>
      </c>
      <c r="C230" s="15">
        <v>4.319</v>
      </c>
      <c r="D230" s="16">
        <v>1.8999999999999684</v>
      </c>
      <c r="E230" s="16">
        <v>3.3000000000000362</v>
      </c>
      <c r="F230" s="16">
        <f t="shared" si="21"/>
        <v>0</v>
      </c>
      <c r="G230" s="16">
        <f t="shared" si="22"/>
        <v>0</v>
      </c>
      <c r="H230" s="16">
        <f t="shared" si="23"/>
        <v>0</v>
      </c>
      <c r="I230" s="22">
        <f t="shared" si="24"/>
        <v>356.73897715999408</v>
      </c>
      <c r="J230" s="22">
        <f t="shared" si="25"/>
        <v>2432.2986920100266</v>
      </c>
      <c r="K230" s="22">
        <f t="shared" si="26"/>
        <v>14632.83135936719</v>
      </c>
      <c r="M230" s="22">
        <f t="shared" si="27"/>
        <v>2.2999999999999803</v>
      </c>
      <c r="N230" s="22" cm="1">
        <f t="array" ref="N230">_xlfn.PERCENTILE.INC(($N$16/1000000)*$I$3:$I$523+M230*$J$3:$J$523,0.99)</f>
        <v>52627.198393816296</v>
      </c>
    </row>
    <row r="231" spans="1:14" x14ac:dyDescent="0.2">
      <c r="A231" s="19">
        <v>45887</v>
      </c>
      <c r="B231" s="15">
        <v>3.7650000000000001</v>
      </c>
      <c r="C231" s="15">
        <v>4.3339999999999996</v>
      </c>
      <c r="D231" s="16">
        <v>1.3000000000000345</v>
      </c>
      <c r="E231" s="16">
        <v>1.499999999999968</v>
      </c>
      <c r="F231" s="16">
        <f t="shared" si="21"/>
        <v>0</v>
      </c>
      <c r="G231" s="16">
        <f t="shared" si="22"/>
        <v>0</v>
      </c>
      <c r="H231" s="16">
        <f t="shared" si="23"/>
        <v>0</v>
      </c>
      <c r="I231" s="22">
        <f t="shared" si="24"/>
        <v>244.10206964000648</v>
      </c>
      <c r="J231" s="22">
        <f t="shared" si="25"/>
        <v>1106.5228702499764</v>
      </c>
      <c r="K231" s="22">
        <f t="shared" si="26"/>
        <v>7884.0654871552088</v>
      </c>
      <c r="M231" s="22">
        <f t="shared" si="27"/>
        <v>2.3499999999999801</v>
      </c>
      <c r="N231" s="22" cm="1">
        <f t="array" ref="N231">_xlfn.PERCENTILE.INC(($N$16/1000000)*$I$3:$I$523+M231*$J$3:$J$523,0.99)</f>
        <v>53096.08051223839</v>
      </c>
    </row>
    <row r="232" spans="1:14" x14ac:dyDescent="0.2">
      <c r="A232" s="19">
        <v>45888</v>
      </c>
      <c r="B232" s="15">
        <v>3.7490000000000001</v>
      </c>
      <c r="C232" s="15">
        <v>4.3070000000000004</v>
      </c>
      <c r="D232" s="16">
        <v>-1.6000000000000014</v>
      </c>
      <c r="E232" s="16">
        <v>-2.6999999999999247</v>
      </c>
      <c r="F232" s="16">
        <f t="shared" si="21"/>
        <v>0</v>
      </c>
      <c r="G232" s="16">
        <f t="shared" si="22"/>
        <v>0</v>
      </c>
      <c r="H232" s="16">
        <f t="shared" si="23"/>
        <v>0</v>
      </c>
      <c r="I232" s="22">
        <f t="shared" si="24"/>
        <v>-300.53745664000024</v>
      </c>
      <c r="J232" s="22">
        <f t="shared" si="25"/>
        <v>-1995.6579003899442</v>
      </c>
      <c r="K232" s="22">
        <f t="shared" si="26"/>
        <v>-12123.570255720937</v>
      </c>
      <c r="M232" s="22">
        <f t="shared" si="27"/>
        <v>2.3999999999999799</v>
      </c>
      <c r="N232" s="22" cm="1">
        <f t="array" ref="N232">_xlfn.PERCENTILE.INC(($N$16/1000000)*$I$3:$I$523+M232*$J$3:$J$523,0.99)</f>
        <v>53564.962630660491</v>
      </c>
    </row>
    <row r="233" spans="1:14" x14ac:dyDescent="0.2">
      <c r="A233" s="19">
        <v>45889</v>
      </c>
      <c r="B233" s="15">
        <v>3.7490000000000001</v>
      </c>
      <c r="C233" s="15">
        <v>4.2919999999999998</v>
      </c>
      <c r="D233" s="16">
        <v>0</v>
      </c>
      <c r="E233" s="16">
        <v>-1.5000000000000568</v>
      </c>
      <c r="F233" s="16">
        <f t="shared" si="21"/>
        <v>0</v>
      </c>
      <c r="G233" s="16">
        <f t="shared" si="22"/>
        <v>0</v>
      </c>
      <c r="H233" s="16">
        <f t="shared" si="23"/>
        <v>0</v>
      </c>
      <c r="I233" s="22">
        <f t="shared" si="24"/>
        <v>0</v>
      </c>
      <c r="J233" s="22">
        <f t="shared" si="25"/>
        <v>-1108.0771297500421</v>
      </c>
      <c r="K233" s="22">
        <f t="shared" si="26"/>
        <v>-4228.4655574449589</v>
      </c>
      <c r="M233" s="22">
        <f t="shared" si="27"/>
        <v>2.4499999999999797</v>
      </c>
      <c r="N233" s="22" cm="1">
        <f t="array" ref="N233">_xlfn.PERCENTILE.INC(($N$16/1000000)*$I$3:$I$523+M233*$J$3:$J$523,0.99)</f>
        <v>54033.844749082578</v>
      </c>
    </row>
    <row r="234" spans="1:14" x14ac:dyDescent="0.2">
      <c r="A234" s="19">
        <v>45890</v>
      </c>
      <c r="B234" s="15">
        <v>3.794</v>
      </c>
      <c r="C234" s="15">
        <v>4.3289999999999997</v>
      </c>
      <c r="D234" s="16">
        <v>4.4999999999999929</v>
      </c>
      <c r="E234" s="16">
        <v>3.6999999999999922</v>
      </c>
      <c r="F234" s="16">
        <f t="shared" si="21"/>
        <v>0</v>
      </c>
      <c r="G234" s="16">
        <f t="shared" si="22"/>
        <v>0</v>
      </c>
      <c r="H234" s="16">
        <f t="shared" si="23"/>
        <v>0</v>
      </c>
      <c r="I234" s="22">
        <f t="shared" si="24"/>
        <v>844.6455089999987</v>
      </c>
      <c r="J234" s="22">
        <f t="shared" si="25"/>
        <v>2726.6115972099942</v>
      </c>
      <c r="K234" s="22">
        <f t="shared" si="26"/>
        <v>23074.538865480274</v>
      </c>
      <c r="M234" s="22">
        <f t="shared" si="27"/>
        <v>2.4999999999999796</v>
      </c>
      <c r="N234" s="22" cm="1">
        <f t="array" ref="N234">_xlfn.PERCENTILE.INC(($N$16/1000000)*$I$3:$I$523+M234*$J$3:$J$523,0.99)</f>
        <v>54502.726867504673</v>
      </c>
    </row>
    <row r="235" spans="1:14" x14ac:dyDescent="0.2">
      <c r="A235" s="19">
        <v>45891</v>
      </c>
      <c r="B235" s="15">
        <v>3.6970000000000001</v>
      </c>
      <c r="C235" s="15">
        <v>4.2549999999999999</v>
      </c>
      <c r="D235" s="16">
        <v>-9.6999999999999975</v>
      </c>
      <c r="E235" s="16">
        <v>-7.3999999999999844</v>
      </c>
      <c r="F235" s="16">
        <f t="shared" si="21"/>
        <v>1</v>
      </c>
      <c r="G235" s="16">
        <f t="shared" si="22"/>
        <v>1</v>
      </c>
      <c r="H235" s="16">
        <f t="shared" si="23"/>
        <v>1</v>
      </c>
      <c r="I235" s="22">
        <f t="shared" si="24"/>
        <v>-1823.7717559599994</v>
      </c>
      <c r="J235" s="22">
        <f t="shared" si="25"/>
        <v>-5481.5936111599885</v>
      </c>
      <c r="K235" s="22">
        <f t="shared" si="26"/>
        <v>-48274.55141747868</v>
      </c>
      <c r="M235" s="22">
        <f t="shared" si="27"/>
        <v>2.5499999999999794</v>
      </c>
      <c r="N235" s="22" cm="1">
        <f t="array" ref="N235">_xlfn.PERCENTILE.INC(($N$16/1000000)*$I$3:$I$523+M235*$J$3:$J$523,0.99)</f>
        <v>54971.608985926767</v>
      </c>
    </row>
    <row r="236" spans="1:14" x14ac:dyDescent="0.2">
      <c r="A236" s="19">
        <v>45894</v>
      </c>
      <c r="B236" s="15">
        <v>3.7250000000000001</v>
      </c>
      <c r="C236" s="15">
        <v>4.2759999999999998</v>
      </c>
      <c r="D236" s="16">
        <v>2.8000000000000025</v>
      </c>
      <c r="E236" s="16">
        <v>2.0999999999999908</v>
      </c>
      <c r="F236" s="16">
        <f t="shared" si="21"/>
        <v>0</v>
      </c>
      <c r="G236" s="16">
        <f t="shared" si="22"/>
        <v>0</v>
      </c>
      <c r="H236" s="16">
        <f t="shared" si="23"/>
        <v>0</v>
      </c>
      <c r="I236" s="22">
        <f t="shared" si="24"/>
        <v>525.66403904000049</v>
      </c>
      <c r="J236" s="22">
        <f t="shared" si="25"/>
        <v>1548.6968256899929</v>
      </c>
      <c r="K236" s="22">
        <f t="shared" si="26"/>
        <v>13794.848093008175</v>
      </c>
      <c r="M236" s="22">
        <f t="shared" si="27"/>
        <v>2.5999999999999792</v>
      </c>
      <c r="N236" s="22" cm="1">
        <f t="array" ref="N236">_xlfn.PERCENTILE.INC(($N$16/1000000)*$I$3:$I$523+M236*$J$3:$J$523,0.99)</f>
        <v>55440.491104348861</v>
      </c>
    </row>
    <row r="237" spans="1:14" x14ac:dyDescent="0.2">
      <c r="A237" s="19">
        <v>45895</v>
      </c>
      <c r="B237" s="15">
        <v>3.68</v>
      </c>
      <c r="C237" s="15">
        <v>4.2619999999999996</v>
      </c>
      <c r="D237" s="16">
        <v>-4.4999999999999929</v>
      </c>
      <c r="E237" s="16">
        <v>-1.4000000000000234</v>
      </c>
      <c r="F237" s="16">
        <f t="shared" si="21"/>
        <v>0</v>
      </c>
      <c r="G237" s="16">
        <f t="shared" si="22"/>
        <v>0</v>
      </c>
      <c r="H237" s="16">
        <f t="shared" si="23"/>
        <v>0</v>
      </c>
      <c r="I237" s="22">
        <f t="shared" si="24"/>
        <v>-845.55449099999862</v>
      </c>
      <c r="J237" s="22">
        <f t="shared" si="25"/>
        <v>-1034.1569663600173</v>
      </c>
      <c r="K237" s="22">
        <f t="shared" si="26"/>
        <v>-16629.700695040847</v>
      </c>
      <c r="M237" s="22">
        <f t="shared" si="27"/>
        <v>2.649999999999979</v>
      </c>
      <c r="N237" s="22" cm="1">
        <f t="array" ref="N237">_xlfn.PERCENTILE.INC(($N$16/1000000)*$I$3:$I$523+M237*$J$3:$J$523,0.99)</f>
        <v>55909.373222770955</v>
      </c>
    </row>
    <row r="238" spans="1:14" x14ac:dyDescent="0.2">
      <c r="A238" s="19">
        <v>45896</v>
      </c>
      <c r="B238" s="15">
        <v>3.6110000000000002</v>
      </c>
      <c r="C238" s="15">
        <v>4.2350000000000003</v>
      </c>
      <c r="D238" s="16">
        <v>-6.899999999999995</v>
      </c>
      <c r="E238" s="16">
        <v>-2.6999999999999247</v>
      </c>
      <c r="F238" s="16">
        <f t="shared" si="21"/>
        <v>1</v>
      </c>
      <c r="G238" s="16">
        <f t="shared" si="22"/>
        <v>0</v>
      </c>
      <c r="H238" s="16">
        <f t="shared" si="23"/>
        <v>0</v>
      </c>
      <c r="I238" s="22">
        <f t="shared" si="24"/>
        <v>-1296.888558839999</v>
      </c>
      <c r="J238" s="22">
        <f t="shared" si="25"/>
        <v>-1995.6579003899442</v>
      </c>
      <c r="K238" s="22">
        <f t="shared" si="26"/>
        <v>-27068.836788720917</v>
      </c>
      <c r="M238" s="22">
        <f t="shared" si="27"/>
        <v>2.6999999999999789</v>
      </c>
      <c r="N238" s="22" cm="1">
        <f t="array" ref="N238">_xlfn.PERCENTILE.INC(($N$16/1000000)*$I$3:$I$523+M238*$J$3:$J$523,0.99)</f>
        <v>56378.255341193049</v>
      </c>
    </row>
    <row r="239" spans="1:14" x14ac:dyDescent="0.2">
      <c r="A239" s="19">
        <v>45897</v>
      </c>
      <c r="B239" s="15">
        <v>3.6309999999999998</v>
      </c>
      <c r="C239" s="15">
        <v>4.2050000000000001</v>
      </c>
      <c r="D239" s="16">
        <v>1.9999999999999574</v>
      </c>
      <c r="E239" s="16">
        <v>-3.0000000000000249</v>
      </c>
      <c r="F239" s="16">
        <f t="shared" si="21"/>
        <v>0</v>
      </c>
      <c r="G239" s="16">
        <f t="shared" si="22"/>
        <v>0</v>
      </c>
      <c r="H239" s="16">
        <f t="shared" si="23"/>
        <v>0</v>
      </c>
      <c r="I239" s="22">
        <f t="shared" si="24"/>
        <v>375.51022399999198</v>
      </c>
      <c r="J239" s="22">
        <f t="shared" si="25"/>
        <v>-2217.708519000018</v>
      </c>
      <c r="K239" s="22">
        <f t="shared" si="26"/>
        <v>-2830.2088697793815</v>
      </c>
      <c r="M239" s="22">
        <f t="shared" si="27"/>
        <v>2.7499999999999787</v>
      </c>
      <c r="N239" s="22" cm="1">
        <f t="array" ref="N239">_xlfn.PERCENTILE.INC(($N$16/1000000)*$I$3:$I$523+M239*$J$3:$J$523,0.99)</f>
        <v>56852.103532677647</v>
      </c>
    </row>
    <row r="240" spans="1:14" x14ac:dyDescent="0.2">
      <c r="A240" s="19">
        <v>45898</v>
      </c>
      <c r="B240" s="15">
        <v>3.6179999999999999</v>
      </c>
      <c r="C240" s="15">
        <v>4.2300000000000004</v>
      </c>
      <c r="D240" s="16">
        <v>-1.2999999999999901</v>
      </c>
      <c r="E240" s="16">
        <v>2.5000000000000355</v>
      </c>
      <c r="F240" s="16">
        <f t="shared" si="21"/>
        <v>0</v>
      </c>
      <c r="G240" s="16">
        <f t="shared" si="22"/>
        <v>0</v>
      </c>
      <c r="H240" s="16">
        <f t="shared" si="23"/>
        <v>0</v>
      </c>
      <c r="I240" s="22">
        <f t="shared" si="24"/>
        <v>-244.1779303599981</v>
      </c>
      <c r="J240" s="22">
        <f t="shared" si="25"/>
        <v>1843.3413062500258</v>
      </c>
      <c r="K240" s="22">
        <f t="shared" si="26"/>
        <v>3371.5933850312431</v>
      </c>
      <c r="M240" s="22">
        <f t="shared" si="27"/>
        <v>2.7999999999999785</v>
      </c>
      <c r="N240" s="22" cm="1">
        <f t="array" ref="N240">_xlfn.PERCENTILE.INC(($N$16/1000000)*$I$3:$I$523+M240*$J$3:$J$523,0.99)</f>
        <v>57353.77722973725</v>
      </c>
    </row>
    <row r="241" spans="1:14" x14ac:dyDescent="0.2">
      <c r="A241" s="19">
        <v>45901</v>
      </c>
      <c r="B241" s="15">
        <v>3.6179999999999999</v>
      </c>
      <c r="C241" s="15">
        <v>4.2300000000000004</v>
      </c>
      <c r="D241" s="16">
        <v>0</v>
      </c>
      <c r="E241" s="16">
        <v>0</v>
      </c>
      <c r="F241" s="16">
        <f t="shared" si="21"/>
        <v>0</v>
      </c>
      <c r="G241" s="16">
        <f t="shared" si="22"/>
        <v>0</v>
      </c>
      <c r="H241" s="16">
        <f t="shared" si="23"/>
        <v>0</v>
      </c>
      <c r="I241" s="22">
        <f t="shared" si="24"/>
        <v>0</v>
      </c>
      <c r="J241" s="22">
        <f t="shared" si="25"/>
        <v>0</v>
      </c>
      <c r="K241" s="22">
        <f t="shared" si="26"/>
        <v>0</v>
      </c>
      <c r="M241" s="22">
        <f t="shared" si="27"/>
        <v>2.8499999999999783</v>
      </c>
      <c r="N241" s="22" cm="1">
        <f t="array" ref="N241">_xlfn.PERCENTILE.INC(($N$16/1000000)*$I$3:$I$523+M241*$J$3:$J$523,0.99)</f>
        <v>57855.450926796846</v>
      </c>
    </row>
    <row r="242" spans="1:14" x14ac:dyDescent="0.2">
      <c r="A242" s="19">
        <v>45902</v>
      </c>
      <c r="B242" s="15">
        <v>3.64</v>
      </c>
      <c r="C242" s="15">
        <v>4.2619999999999996</v>
      </c>
      <c r="D242" s="16">
        <v>2.2000000000000242</v>
      </c>
      <c r="E242" s="16">
        <v>3.199999999999914</v>
      </c>
      <c r="F242" s="16">
        <f t="shared" si="21"/>
        <v>0</v>
      </c>
      <c r="G242" s="16">
        <f t="shared" si="22"/>
        <v>0</v>
      </c>
      <c r="H242" s="16">
        <f t="shared" si="23"/>
        <v>0</v>
      </c>
      <c r="I242" s="22">
        <f t="shared" si="24"/>
        <v>413.05137104000454</v>
      </c>
      <c r="J242" s="22">
        <f t="shared" si="25"/>
        <v>2358.7031961599364</v>
      </c>
      <c r="K242" s="22">
        <f t="shared" si="26"/>
        <v>15196.673984162164</v>
      </c>
      <c r="M242" s="22">
        <f t="shared" si="27"/>
        <v>2.8999999999999782</v>
      </c>
      <c r="N242" s="22" cm="1">
        <f t="array" ref="N242">_xlfn.PERCENTILE.INC(($N$16/1000000)*$I$3:$I$523+M242*$J$3:$J$523,0.99)</f>
        <v>58357.124623856449</v>
      </c>
    </row>
    <row r="243" spans="1:14" x14ac:dyDescent="0.2">
      <c r="A243" s="19">
        <v>45903</v>
      </c>
      <c r="B243" s="15">
        <v>3.6179999999999999</v>
      </c>
      <c r="C243" s="15">
        <v>4.218</v>
      </c>
      <c r="D243" s="16">
        <v>-2.2000000000000242</v>
      </c>
      <c r="E243" s="16">
        <v>-4.3999999999999595</v>
      </c>
      <c r="F243" s="16">
        <f t="shared" si="21"/>
        <v>0</v>
      </c>
      <c r="G243" s="16">
        <f t="shared" si="22"/>
        <v>0</v>
      </c>
      <c r="H243" s="16">
        <f t="shared" si="23"/>
        <v>0</v>
      </c>
      <c r="I243" s="22">
        <f t="shared" si="24"/>
        <v>-413.26862896000449</v>
      </c>
      <c r="J243" s="22">
        <f t="shared" si="25"/>
        <v>-3254.7667697599695</v>
      </c>
      <c r="K243" s="22">
        <f t="shared" si="26"/>
        <v>-18619.346408680525</v>
      </c>
      <c r="M243" s="22">
        <f t="shared" si="27"/>
        <v>2.949999999999978</v>
      </c>
      <c r="N243" s="22" cm="1">
        <f t="array" ref="N243">_xlfn.PERCENTILE.INC(($N$16/1000000)*$I$3:$I$523+M243*$J$3:$J$523,0.99)</f>
        <v>58858.798320916052</v>
      </c>
    </row>
    <row r="244" spans="1:14" x14ac:dyDescent="0.2">
      <c r="A244" s="19">
        <v>45904</v>
      </c>
      <c r="B244" s="15">
        <v>3.589</v>
      </c>
      <c r="C244" s="15">
        <v>4.1619999999999999</v>
      </c>
      <c r="D244" s="16">
        <v>-2.8999999999999915</v>
      </c>
      <c r="E244" s="16">
        <v>-5.600000000000005</v>
      </c>
      <c r="F244" s="16">
        <f t="shared" si="21"/>
        <v>0</v>
      </c>
      <c r="G244" s="16">
        <f t="shared" si="22"/>
        <v>1</v>
      </c>
      <c r="H244" s="16">
        <f t="shared" si="23"/>
        <v>0</v>
      </c>
      <c r="I244" s="22">
        <f t="shared" si="24"/>
        <v>-544.80875403999835</v>
      </c>
      <c r="J244" s="22">
        <f t="shared" si="25"/>
        <v>-4144.7514617600036</v>
      </c>
      <c r="K244" s="22">
        <f t="shared" si="26"/>
        <v>-23988.664591252818</v>
      </c>
      <c r="M244" s="22">
        <f t="shared" si="27"/>
        <v>2.9999999999999778</v>
      </c>
      <c r="N244" s="22" cm="1">
        <f t="array" ref="N244">_xlfn.PERCENTILE.INC(($N$16/1000000)*$I$3:$I$523+M244*$J$3:$J$523,0.99)</f>
        <v>59360.472017975648</v>
      </c>
    </row>
    <row r="245" spans="1:14" x14ac:dyDescent="0.2">
      <c r="A245" s="19">
        <v>45905</v>
      </c>
      <c r="B245" s="15">
        <v>3.51</v>
      </c>
      <c r="C245" s="15">
        <v>4.0759999999999996</v>
      </c>
      <c r="D245" s="16">
        <v>-7.9000000000000181</v>
      </c>
      <c r="E245" s="16">
        <v>-8.6000000000000298</v>
      </c>
      <c r="F245" s="16">
        <f t="shared" si="21"/>
        <v>1</v>
      </c>
      <c r="G245" s="16">
        <f t="shared" si="22"/>
        <v>1</v>
      </c>
      <c r="H245" s="16">
        <f t="shared" si="23"/>
        <v>1</v>
      </c>
      <c r="I245" s="22">
        <f t="shared" si="24"/>
        <v>-1485.0207300400034</v>
      </c>
      <c r="J245" s="22">
        <f t="shared" si="25"/>
        <v>-6374.0651183600221</v>
      </c>
      <c r="K245" s="22">
        <f t="shared" si="26"/>
        <v>-46598.992118874477</v>
      </c>
      <c r="M245" s="22">
        <f t="shared" si="27"/>
        <v>3.0499999999999776</v>
      </c>
      <c r="N245" s="22" cm="1">
        <f t="array" ref="N245">_xlfn.PERCENTILE.INC(($N$16/1000000)*$I$3:$I$523+M245*$J$3:$J$523,0.99)</f>
        <v>59862.145715035251</v>
      </c>
    </row>
    <row r="246" spans="1:14" x14ac:dyDescent="0.2">
      <c r="A246" s="19">
        <v>45908</v>
      </c>
      <c r="B246" s="15">
        <v>3.4870000000000001</v>
      </c>
      <c r="C246" s="15">
        <v>4.0410000000000004</v>
      </c>
      <c r="D246" s="16">
        <v>-2.2999999999999687</v>
      </c>
      <c r="E246" s="16">
        <v>-3.4999999999999254</v>
      </c>
      <c r="F246" s="16">
        <f t="shared" si="21"/>
        <v>0</v>
      </c>
      <c r="G246" s="16">
        <f t="shared" si="22"/>
        <v>0</v>
      </c>
      <c r="H246" s="16">
        <f t="shared" si="23"/>
        <v>0</v>
      </c>
      <c r="I246" s="22">
        <f t="shared" si="24"/>
        <v>-432.0587287599941</v>
      </c>
      <c r="J246" s="22">
        <f t="shared" si="25"/>
        <v>-2587.9310397499448</v>
      </c>
      <c r="K246" s="22">
        <f t="shared" si="26"/>
        <v>-16356.526744154713</v>
      </c>
      <c r="M246" s="22">
        <f t="shared" si="27"/>
        <v>3.0999999999999774</v>
      </c>
      <c r="N246" s="22" cm="1">
        <f t="array" ref="N246">_xlfn.PERCENTILE.INC(($N$16/1000000)*$I$3:$I$523+M246*$J$3:$J$523,0.99)</f>
        <v>60363.819412094854</v>
      </c>
    </row>
    <row r="247" spans="1:14" x14ac:dyDescent="0.2">
      <c r="A247" s="19">
        <v>45909</v>
      </c>
      <c r="B247" s="15">
        <v>3.5590000000000002</v>
      </c>
      <c r="C247" s="15">
        <v>4.0880000000000001</v>
      </c>
      <c r="D247" s="16">
        <v>7.2000000000000064</v>
      </c>
      <c r="E247" s="16">
        <v>4.6999999999999709</v>
      </c>
      <c r="F247" s="16">
        <f t="shared" si="21"/>
        <v>1</v>
      </c>
      <c r="G247" s="16">
        <f t="shared" si="22"/>
        <v>0</v>
      </c>
      <c r="H247" s="16">
        <f t="shared" si="23"/>
        <v>0</v>
      </c>
      <c r="I247" s="22">
        <f t="shared" si="24"/>
        <v>1350.9965030400012</v>
      </c>
      <c r="J247" s="22">
        <f t="shared" si="25"/>
        <v>3461.9103128099787</v>
      </c>
      <c r="K247" s="22">
        <f t="shared" si="26"/>
        <v>33475.732361619674</v>
      </c>
      <c r="M247" s="22">
        <f t="shared" si="27"/>
        <v>3.1499999999999773</v>
      </c>
      <c r="N247" s="22" cm="1">
        <f t="array" ref="N247">_xlfn.PERCENTILE.INC(($N$16/1000000)*$I$3:$I$523+M247*$J$3:$J$523,0.99)</f>
        <v>60651.919409650778</v>
      </c>
    </row>
    <row r="248" spans="1:14" x14ac:dyDescent="0.2">
      <c r="A248" s="19">
        <v>45910</v>
      </c>
      <c r="B248" s="15">
        <v>3.5449999999999999</v>
      </c>
      <c r="C248" s="15">
        <v>4.0469999999999997</v>
      </c>
      <c r="D248" s="16">
        <v>-1.4000000000000234</v>
      </c>
      <c r="E248" s="16">
        <v>-4.1000000000000369</v>
      </c>
      <c r="F248" s="16">
        <f t="shared" si="21"/>
        <v>0</v>
      </c>
      <c r="G248" s="16">
        <f t="shared" si="22"/>
        <v>0</v>
      </c>
      <c r="H248" s="16">
        <f t="shared" si="23"/>
        <v>0</v>
      </c>
      <c r="I248" s="22">
        <f t="shared" si="24"/>
        <v>-262.96399024000436</v>
      </c>
      <c r="J248" s="22">
        <f t="shared" si="25"/>
        <v>-3032.4260227100267</v>
      </c>
      <c r="K248" s="22">
        <f t="shared" si="26"/>
        <v>-15516.315862776635</v>
      </c>
      <c r="M248" s="22">
        <f t="shared" si="27"/>
        <v>3.1999999999999771</v>
      </c>
      <c r="N248" s="22" cm="1">
        <f t="array" ref="N248">_xlfn.PERCENTILE.INC(($N$16/1000000)*$I$3:$I$523+M248*$J$3:$J$523,0.99)</f>
        <v>61086.45066434551</v>
      </c>
    </row>
    <row r="249" spans="1:14" x14ac:dyDescent="0.2">
      <c r="A249" s="19">
        <v>45911</v>
      </c>
      <c r="B249" s="15">
        <v>3.544</v>
      </c>
      <c r="C249" s="15">
        <v>4.0220000000000002</v>
      </c>
      <c r="D249" s="16">
        <v>-9.9999999999988987E-2</v>
      </c>
      <c r="E249" s="16">
        <v>-2.4999999999999467</v>
      </c>
      <c r="F249" s="16">
        <f t="shared" si="21"/>
        <v>0</v>
      </c>
      <c r="G249" s="16">
        <f t="shared" si="22"/>
        <v>0</v>
      </c>
      <c r="H249" s="16">
        <f t="shared" si="23"/>
        <v>0</v>
      </c>
      <c r="I249" s="22">
        <f t="shared" si="24"/>
        <v>-18.780224439997934</v>
      </c>
      <c r="J249" s="22">
        <f t="shared" si="25"/>
        <v>-1847.6586937499605</v>
      </c>
      <c r="K249" s="22">
        <f t="shared" si="26"/>
        <v>-7332.4410261687017</v>
      </c>
      <c r="M249" s="22">
        <f t="shared" si="27"/>
        <v>3.2499999999999769</v>
      </c>
      <c r="N249" s="22" cm="1">
        <f t="array" ref="N249">_xlfn.PERCENTILE.INC(($N$16/1000000)*$I$3:$I$523+M249*$J$3:$J$523,0.99)</f>
        <v>61585.570000278385</v>
      </c>
    </row>
    <row r="250" spans="1:14" x14ac:dyDescent="0.2">
      <c r="A250" s="19">
        <v>45912</v>
      </c>
      <c r="B250" s="15">
        <v>3.5579999999999998</v>
      </c>
      <c r="C250" s="15">
        <v>4.0670000000000002</v>
      </c>
      <c r="D250" s="16">
        <v>1.399999999999979</v>
      </c>
      <c r="E250" s="16">
        <v>4.4999999999999929</v>
      </c>
      <c r="F250" s="16">
        <f t="shared" si="21"/>
        <v>0</v>
      </c>
      <c r="G250" s="16">
        <f t="shared" si="22"/>
        <v>0</v>
      </c>
      <c r="H250" s="16">
        <f t="shared" si="23"/>
        <v>0</v>
      </c>
      <c r="I250" s="22">
        <f t="shared" si="24"/>
        <v>262.87600975999607</v>
      </c>
      <c r="J250" s="22">
        <f t="shared" si="25"/>
        <v>3314.9058322499941</v>
      </c>
      <c r="K250" s="22">
        <f t="shared" si="26"/>
        <v>16592.950129396733</v>
      </c>
      <c r="M250" s="22">
        <f t="shared" si="27"/>
        <v>3.2999999999999767</v>
      </c>
      <c r="N250" s="22" cm="1">
        <f t="array" ref="N250">_xlfn.PERCENTILE.INC(($N$16/1000000)*$I$3:$I$523+M250*$J$3:$J$523,0.99)</f>
        <v>62084.689336211275</v>
      </c>
    </row>
    <row r="251" spans="1:14" x14ac:dyDescent="0.2">
      <c r="A251" s="19">
        <v>45915</v>
      </c>
      <c r="B251" s="15">
        <v>3.5390000000000001</v>
      </c>
      <c r="C251" s="15">
        <v>4.0389999999999997</v>
      </c>
      <c r="D251" s="16">
        <v>-1.8999999999999684</v>
      </c>
      <c r="E251" s="16">
        <v>-2.8000000000000469</v>
      </c>
      <c r="F251" s="16">
        <f t="shared" si="21"/>
        <v>0</v>
      </c>
      <c r="G251" s="16">
        <f t="shared" si="22"/>
        <v>0</v>
      </c>
      <c r="H251" s="16">
        <f t="shared" si="23"/>
        <v>0</v>
      </c>
      <c r="I251" s="22">
        <f t="shared" si="24"/>
        <v>-356.90102283999408</v>
      </c>
      <c r="J251" s="22">
        <f t="shared" si="25"/>
        <v>-2069.6678654400343</v>
      </c>
      <c r="K251" s="22">
        <f t="shared" si="26"/>
        <v>-13251.44866276325</v>
      </c>
      <c r="M251" s="22">
        <f t="shared" si="27"/>
        <v>3.3499999999999766</v>
      </c>
      <c r="N251" s="22" cm="1">
        <f t="array" ref="N251">_xlfn.PERCENTILE.INC(($N$16/1000000)*$I$3:$I$523+M251*$J$3:$J$523,0.99)</f>
        <v>62545.638620737111</v>
      </c>
    </row>
    <row r="252" spans="1:14" x14ac:dyDescent="0.2">
      <c r="A252" s="19">
        <v>45916</v>
      </c>
      <c r="B252" s="15">
        <v>3.504</v>
      </c>
      <c r="C252" s="15">
        <v>4.0289999999999999</v>
      </c>
      <c r="D252" s="16">
        <v>-3.5000000000000142</v>
      </c>
      <c r="E252" s="16">
        <v>-0.99999999999997868</v>
      </c>
      <c r="F252" s="16">
        <f t="shared" si="21"/>
        <v>0</v>
      </c>
      <c r="G252" s="16">
        <f t="shared" si="22"/>
        <v>0</v>
      </c>
      <c r="H252" s="16">
        <f t="shared" si="23"/>
        <v>0</v>
      </c>
      <c r="I252" s="22">
        <f t="shared" si="24"/>
        <v>-657.57493900000259</v>
      </c>
      <c r="J252" s="22">
        <f t="shared" si="25"/>
        <v>-738.54539099998419</v>
      </c>
      <c r="K252" s="22">
        <f t="shared" si="26"/>
        <v>-12681.942110530999</v>
      </c>
      <c r="M252" s="22">
        <f t="shared" si="27"/>
        <v>3.3999999999999764</v>
      </c>
      <c r="N252" s="22" cm="1">
        <f t="array" ref="N252">_xlfn.PERCENTILE.INC(($N$16/1000000)*$I$3:$I$523+M252*$J$3:$J$523,0.99)</f>
        <v>62960.292658529586</v>
      </c>
    </row>
    <row r="253" spans="1:14" x14ac:dyDescent="0.2">
      <c r="A253" s="19">
        <v>45917</v>
      </c>
      <c r="B253" s="15">
        <v>3.5539999999999998</v>
      </c>
      <c r="C253" s="15">
        <v>4.0890000000000004</v>
      </c>
      <c r="D253" s="16">
        <v>4.9999999999999822</v>
      </c>
      <c r="E253" s="16">
        <v>6.0000000000000497</v>
      </c>
      <c r="F253" s="16">
        <f t="shared" si="21"/>
        <v>0</v>
      </c>
      <c r="G253" s="16">
        <f t="shared" si="22"/>
        <v>1</v>
      </c>
      <c r="H253" s="16">
        <f t="shared" si="23"/>
        <v>0</v>
      </c>
      <c r="I253" s="22">
        <f t="shared" si="24"/>
        <v>938.43889999999669</v>
      </c>
      <c r="J253" s="22">
        <f t="shared" si="25"/>
        <v>4416.7659240000366</v>
      </c>
      <c r="K253" s="22">
        <f t="shared" si="26"/>
        <v>30931.134580883318</v>
      </c>
      <c r="M253" s="22">
        <f t="shared" si="27"/>
        <v>3.4499999999999762</v>
      </c>
      <c r="N253" s="22" cm="1">
        <f t="array" ref="N253">_xlfn.PERCENTILE.INC(($N$16/1000000)*$I$3:$I$523+M253*$J$3:$J$523,0.99)</f>
        <v>63411.487117524463</v>
      </c>
    </row>
    <row r="254" spans="1:14" x14ac:dyDescent="0.2">
      <c r="A254" s="19">
        <v>45918</v>
      </c>
      <c r="B254" s="15">
        <v>3.5649999999999999</v>
      </c>
      <c r="C254" s="15">
        <v>4.1059999999999999</v>
      </c>
      <c r="D254" s="16">
        <v>1.1000000000000121</v>
      </c>
      <c r="E254" s="16">
        <v>1.699999999999946</v>
      </c>
      <c r="F254" s="16">
        <f t="shared" si="21"/>
        <v>0</v>
      </c>
      <c r="G254" s="16">
        <f t="shared" si="22"/>
        <v>0</v>
      </c>
      <c r="H254" s="16">
        <f t="shared" si="23"/>
        <v>0</v>
      </c>
      <c r="I254" s="22">
        <f t="shared" si="24"/>
        <v>206.55284276000225</v>
      </c>
      <c r="J254" s="22">
        <f t="shared" si="25"/>
        <v>1253.9418200099601</v>
      </c>
      <c r="K254" s="22">
        <f t="shared" si="26"/>
        <v>7883.3835476152299</v>
      </c>
      <c r="M254" s="22">
        <f t="shared" si="27"/>
        <v>3.499999999999976</v>
      </c>
      <c r="N254" s="22" cm="1">
        <f t="array" ref="N254">_xlfn.PERCENTILE.INC(($N$16/1000000)*$I$3:$I$523+M254*$J$3:$J$523,0.99)</f>
        <v>63880.369235946549</v>
      </c>
    </row>
    <row r="255" spans="1:14" x14ac:dyDescent="0.2">
      <c r="A255" s="19">
        <v>45919</v>
      </c>
      <c r="B255" s="15">
        <v>3.573</v>
      </c>
      <c r="C255" s="15">
        <v>4.1280000000000001</v>
      </c>
      <c r="D255" s="16">
        <v>0.80000000000000071</v>
      </c>
      <c r="E255" s="16">
        <v>2.2000000000000242</v>
      </c>
      <c r="F255" s="16">
        <f t="shared" si="21"/>
        <v>0</v>
      </c>
      <c r="G255" s="16">
        <f t="shared" si="22"/>
        <v>0</v>
      </c>
      <c r="H255" s="16">
        <f t="shared" si="23"/>
        <v>0</v>
      </c>
      <c r="I255" s="22">
        <f t="shared" si="24"/>
        <v>150.22563584000014</v>
      </c>
      <c r="J255" s="22">
        <f t="shared" si="25"/>
        <v>1622.3683075600179</v>
      </c>
      <c r="K255" s="22">
        <f t="shared" si="26"/>
        <v>8444.4052940299262</v>
      </c>
      <c r="M255" s="22">
        <f t="shared" si="27"/>
        <v>3.5499999999999758</v>
      </c>
      <c r="N255" s="22" cm="1">
        <f t="array" ref="N255">_xlfn.PERCENTILE.INC(($N$16/1000000)*$I$3:$I$523+M255*$J$3:$J$523,0.99)</f>
        <v>64349.251354368636</v>
      </c>
    </row>
    <row r="256" spans="1:14" x14ac:dyDescent="0.2">
      <c r="A256" s="19">
        <v>45922</v>
      </c>
      <c r="B256" s="15">
        <v>3.6040000000000001</v>
      </c>
      <c r="C256" s="15">
        <v>4.1479999999999997</v>
      </c>
      <c r="D256" s="16">
        <v>3.1000000000000139</v>
      </c>
      <c r="E256" s="16">
        <v>1.9999999999999574</v>
      </c>
      <c r="F256" s="16">
        <f t="shared" si="21"/>
        <v>0</v>
      </c>
      <c r="G256" s="16">
        <f t="shared" si="22"/>
        <v>0</v>
      </c>
      <c r="H256" s="16">
        <f t="shared" si="23"/>
        <v>0</v>
      </c>
      <c r="I256" s="22">
        <f t="shared" si="24"/>
        <v>581.96431316000258</v>
      </c>
      <c r="J256" s="22">
        <f t="shared" si="25"/>
        <v>1475.0184359999685</v>
      </c>
      <c r="K256" s="22">
        <f t="shared" si="26"/>
        <v>14358.192595275832</v>
      </c>
      <c r="M256" s="22">
        <f t="shared" si="27"/>
        <v>3.5999999999999757</v>
      </c>
      <c r="N256" s="22" cm="1">
        <f t="array" ref="N256">_xlfn.PERCENTILE.INC(($N$16/1000000)*$I$3:$I$523+M256*$J$3:$J$523,0.99)</f>
        <v>64818.133472790738</v>
      </c>
    </row>
    <row r="257" spans="1:14" x14ac:dyDescent="0.2">
      <c r="A257" s="19">
        <v>45923</v>
      </c>
      <c r="B257" s="15">
        <v>3.5870000000000002</v>
      </c>
      <c r="C257" s="15">
        <v>4.1070000000000002</v>
      </c>
      <c r="D257" s="16">
        <v>-1.6999999999999904</v>
      </c>
      <c r="E257" s="16">
        <v>-4.0999999999999481</v>
      </c>
      <c r="F257" s="16">
        <f t="shared" si="21"/>
        <v>0</v>
      </c>
      <c r="G257" s="16">
        <f t="shared" si="22"/>
        <v>0</v>
      </c>
      <c r="H257" s="16">
        <f t="shared" si="23"/>
        <v>0</v>
      </c>
      <c r="I257" s="22">
        <f t="shared" si="24"/>
        <v>-319.32486315999813</v>
      </c>
      <c r="J257" s="22">
        <f t="shared" si="25"/>
        <v>-3032.4260227099612</v>
      </c>
      <c r="K257" s="22">
        <f t="shared" si="26"/>
        <v>-16361.728956576293</v>
      </c>
      <c r="M257" s="22">
        <f t="shared" si="27"/>
        <v>3.6499999999999755</v>
      </c>
      <c r="N257" s="22" cm="1">
        <f t="array" ref="N257">_xlfn.PERCENTILE.INC(($N$16/1000000)*$I$3:$I$523+M257*$J$3:$J$523,0.99)</f>
        <v>65287.015591212825</v>
      </c>
    </row>
    <row r="258" spans="1:14" x14ac:dyDescent="0.2">
      <c r="A258" s="19">
        <v>45924</v>
      </c>
      <c r="B258" s="15">
        <v>3.605</v>
      </c>
      <c r="C258" s="15">
        <v>4.1479999999999997</v>
      </c>
      <c r="D258" s="16">
        <v>1.7999999999999794</v>
      </c>
      <c r="E258" s="16">
        <v>4.0999999999999481</v>
      </c>
      <c r="F258" s="16">
        <f t="shared" si="21"/>
        <v>0</v>
      </c>
      <c r="G258" s="16">
        <f t="shared" si="22"/>
        <v>0</v>
      </c>
      <c r="H258" s="16">
        <f t="shared" si="23"/>
        <v>0</v>
      </c>
      <c r="I258" s="22">
        <f t="shared" si="24"/>
        <v>337.9672814399961</v>
      </c>
      <c r="J258" s="22">
        <f t="shared" si="25"/>
        <v>3020.8139772899617</v>
      </c>
      <c r="K258" s="22">
        <f t="shared" si="26"/>
        <v>16597.053212423325</v>
      </c>
      <c r="M258" s="22">
        <f t="shared" si="27"/>
        <v>3.6999999999999753</v>
      </c>
      <c r="N258" s="22" cm="1">
        <f t="array" ref="N258">_xlfn.PERCENTILE.INC(($N$16/1000000)*$I$3:$I$523+M258*$J$3:$J$523,0.99)</f>
        <v>65755.897709634912</v>
      </c>
    </row>
    <row r="259" spans="1:14" x14ac:dyDescent="0.2">
      <c r="A259" s="19">
        <v>45925</v>
      </c>
      <c r="B259" s="15">
        <v>3.6560000000000001</v>
      </c>
      <c r="C259" s="15">
        <v>4.1710000000000003</v>
      </c>
      <c r="D259" s="16">
        <v>5.1000000000000156</v>
      </c>
      <c r="E259" s="16">
        <v>2.3000000000000576</v>
      </c>
      <c r="F259" s="16">
        <f t="shared" si="21"/>
        <v>0</v>
      </c>
      <c r="G259" s="16">
        <f t="shared" si="22"/>
        <v>0</v>
      </c>
      <c r="H259" s="16">
        <f t="shared" si="23"/>
        <v>0</v>
      </c>
      <c r="I259" s="22">
        <f t="shared" si="24"/>
        <v>957.19623156000284</v>
      </c>
      <c r="J259" s="22">
        <f t="shared" si="25"/>
        <v>1696.0328816100423</v>
      </c>
      <c r="K259" s="22">
        <f t="shared" si="26"/>
        <v>20830.0711183411</v>
      </c>
      <c r="M259" s="22">
        <f t="shared" si="27"/>
        <v>3.7499999999999751</v>
      </c>
      <c r="N259" s="22" cm="1">
        <f t="array" ref="N259">_xlfn.PERCENTILE.INC(($N$16/1000000)*$I$3:$I$523+M259*$J$3:$J$523,0.99)</f>
        <v>66224.779828057013</v>
      </c>
    </row>
    <row r="260" spans="1:14" x14ac:dyDescent="0.2">
      <c r="A260" s="19">
        <v>45926</v>
      </c>
      <c r="B260" s="15">
        <v>3.6440000000000001</v>
      </c>
      <c r="C260" s="15">
        <v>4.1760000000000002</v>
      </c>
      <c r="D260" s="16">
        <v>-1.2000000000000011</v>
      </c>
      <c r="E260" s="16">
        <v>0.49999999999998934</v>
      </c>
      <c r="F260" s="16">
        <f t="shared" ref="F260:F323" si="28">IF(ABS(D260-$N$2)&gt;$N$3,1,0)</f>
        <v>0</v>
      </c>
      <c r="G260" s="16">
        <f t="shared" ref="G260:G323" si="29">IF(ABS(E260-$O$2)&gt;$O$3,1,0)</f>
        <v>0</v>
      </c>
      <c r="H260" s="16">
        <f t="shared" ref="H260:H323" si="30">IF(AND(F260=1,G260=1),1,0)</f>
        <v>0</v>
      </c>
      <c r="I260" s="22">
        <f t="shared" ref="I260:I323" si="31">(1000000/100)*($N$11*D260/100-0.5*$N$19*(D260/100)^2)</f>
        <v>-225.39231936000016</v>
      </c>
      <c r="J260" s="22">
        <f t="shared" ref="J260:J323" si="32">(1000000/100)*($O$11*E260/100-0.5*$O$19*(E260/100)^2)</f>
        <v>369.01365224999211</v>
      </c>
      <c r="K260" s="22">
        <f t="shared" ref="K260:K323" si="33">($N$16/1000000)*I260+($O$16/1000000)*J260</f>
        <v>-1972.7142967827879</v>
      </c>
      <c r="M260" s="22">
        <f t="shared" si="27"/>
        <v>3.799999999999975</v>
      </c>
      <c r="N260" s="22" cm="1">
        <f t="array" ref="N260">_xlfn.PERCENTILE.INC(($N$16/1000000)*$I$3:$I$523+M260*$J$3:$J$523,0.99)</f>
        <v>66693.661946479115</v>
      </c>
    </row>
    <row r="261" spans="1:14" x14ac:dyDescent="0.2">
      <c r="A261" s="19">
        <v>45929</v>
      </c>
      <c r="B261" s="15">
        <v>3.6219999999999999</v>
      </c>
      <c r="C261" s="15">
        <v>4.1399999999999997</v>
      </c>
      <c r="D261" s="16">
        <v>-2.2000000000000242</v>
      </c>
      <c r="E261" s="16">
        <v>-3.6000000000000476</v>
      </c>
      <c r="F261" s="16">
        <f t="shared" si="28"/>
        <v>0</v>
      </c>
      <c r="G261" s="16">
        <f t="shared" si="29"/>
        <v>0</v>
      </c>
      <c r="H261" s="16">
        <f t="shared" si="30"/>
        <v>0</v>
      </c>
      <c r="I261" s="22">
        <f t="shared" si="31"/>
        <v>-413.26862896000449</v>
      </c>
      <c r="J261" s="22">
        <f t="shared" si="32"/>
        <v>-2661.9962673600348</v>
      </c>
      <c r="K261" s="22">
        <f t="shared" si="33"/>
        <v>-16357.311045282237</v>
      </c>
      <c r="M261" s="22">
        <f t="shared" si="27"/>
        <v>3.8499999999999748</v>
      </c>
      <c r="N261" s="22" cm="1">
        <f t="array" ref="N261">_xlfn.PERCENTILE.INC(($N$16/1000000)*$I$3:$I$523+M261*$J$3:$J$523,0.99)</f>
        <v>67162.544064901216</v>
      </c>
    </row>
    <row r="262" spans="1:14" x14ac:dyDescent="0.2">
      <c r="A262" s="19">
        <v>45930</v>
      </c>
      <c r="B262" s="15">
        <v>3.609</v>
      </c>
      <c r="C262" s="15">
        <v>4.1509999999999998</v>
      </c>
      <c r="D262" s="16">
        <v>-1.2999999999999901</v>
      </c>
      <c r="E262" s="16">
        <v>1.1000000000000121</v>
      </c>
      <c r="F262" s="16">
        <f t="shared" si="28"/>
        <v>0</v>
      </c>
      <c r="G262" s="16">
        <f t="shared" si="29"/>
        <v>0</v>
      </c>
      <c r="H262" s="16">
        <f t="shared" si="30"/>
        <v>0</v>
      </c>
      <c r="I262" s="22">
        <f t="shared" si="31"/>
        <v>-244.1779303599981</v>
      </c>
      <c r="J262" s="22">
        <f t="shared" si="32"/>
        <v>811.60207689000902</v>
      </c>
      <c r="K262" s="22">
        <f t="shared" si="33"/>
        <v>-565.56376629247279</v>
      </c>
      <c r="M262" s="22">
        <f t="shared" si="27"/>
        <v>3.8999999999999746</v>
      </c>
      <c r="N262" s="22" cm="1">
        <f t="array" ref="N262">_xlfn.PERCENTILE.INC(($N$16/1000000)*$I$3:$I$523+M262*$J$3:$J$523,0.99)</f>
        <v>67631.426183323303</v>
      </c>
    </row>
    <row r="263" spans="1:14" x14ac:dyDescent="0.2">
      <c r="A263" s="19">
        <v>45931</v>
      </c>
      <c r="B263" s="15">
        <v>3.5369999999999999</v>
      </c>
      <c r="C263" s="15">
        <v>4.0990000000000002</v>
      </c>
      <c r="D263" s="16">
        <v>-7.2000000000000064</v>
      </c>
      <c r="E263" s="16">
        <v>-5.1999999999999602</v>
      </c>
      <c r="F263" s="16">
        <f t="shared" si="28"/>
        <v>1</v>
      </c>
      <c r="G263" s="16">
        <f t="shared" si="29"/>
        <v>1</v>
      </c>
      <c r="H263" s="16">
        <f t="shared" si="30"/>
        <v>1</v>
      </c>
      <c r="I263" s="22">
        <f t="shared" si="31"/>
        <v>-1353.3234969600012</v>
      </c>
      <c r="J263" s="22">
        <f t="shared" si="32"/>
        <v>-3847.9793726399703</v>
      </c>
      <c r="K263" s="22">
        <f t="shared" si="33"/>
        <v>-34983.89186475872</v>
      </c>
      <c r="M263" s="22">
        <f t="shared" si="27"/>
        <v>3.9499999999999744</v>
      </c>
      <c r="N263" s="22" cm="1">
        <f t="array" ref="N263">_xlfn.PERCENTILE.INC(($N$16/1000000)*$I$3:$I$523+M263*$J$3:$J$523,0.99)</f>
        <v>68100.30830174539</v>
      </c>
    </row>
    <row r="264" spans="1:14" x14ac:dyDescent="0.2">
      <c r="A264" s="19">
        <v>45932</v>
      </c>
      <c r="B264" s="15">
        <v>3.54</v>
      </c>
      <c r="C264" s="15">
        <v>4.0839999999999996</v>
      </c>
      <c r="D264" s="16">
        <v>0.30000000000001137</v>
      </c>
      <c r="E264" s="16">
        <v>-1.5000000000000568</v>
      </c>
      <c r="F264" s="16">
        <f t="shared" si="28"/>
        <v>0</v>
      </c>
      <c r="G264" s="16">
        <f t="shared" si="29"/>
        <v>0</v>
      </c>
      <c r="H264" s="16">
        <f t="shared" si="30"/>
        <v>0</v>
      </c>
      <c r="I264" s="22">
        <f t="shared" si="31"/>
        <v>56.33798004000213</v>
      </c>
      <c r="J264" s="22">
        <f t="shared" si="32"/>
        <v>-1108.0771297500421</v>
      </c>
      <c r="K264" s="22">
        <f t="shared" si="33"/>
        <v>-3383.395856844927</v>
      </c>
      <c r="M264" s="22">
        <f t="shared" si="27"/>
        <v>3.9999999999999742</v>
      </c>
      <c r="N264" s="22" cm="1">
        <f t="array" ref="N264">_xlfn.PERCENTILE.INC(($N$16/1000000)*$I$3:$I$523+M264*$J$3:$J$523,0.99)</f>
        <v>68569.190420167492</v>
      </c>
    </row>
    <row r="265" spans="1:14" x14ac:dyDescent="0.2">
      <c r="A265" s="19">
        <v>45933</v>
      </c>
      <c r="B265" s="15">
        <v>3.577</v>
      </c>
      <c r="C265" s="15">
        <v>4.12</v>
      </c>
      <c r="D265" s="16">
        <v>3.6999999999999922</v>
      </c>
      <c r="E265" s="16">
        <v>3.6000000000000476</v>
      </c>
      <c r="F265" s="16">
        <f t="shared" si="28"/>
        <v>0</v>
      </c>
      <c r="G265" s="16">
        <f t="shared" si="29"/>
        <v>0</v>
      </c>
      <c r="H265" s="16">
        <f t="shared" si="30"/>
        <v>0</v>
      </c>
      <c r="I265" s="22">
        <f t="shared" si="31"/>
        <v>694.55274163999854</v>
      </c>
      <c r="J265" s="22">
        <f t="shared" si="32"/>
        <v>2653.0437326400347</v>
      </c>
      <c r="K265" s="22">
        <f t="shared" si="33"/>
        <v>20542.40951371807</v>
      </c>
      <c r="M265" s="22">
        <f t="shared" si="27"/>
        <v>4.0499999999999741</v>
      </c>
      <c r="N265" s="22" cm="1">
        <f t="array" ref="N265">_xlfn.PERCENTILE.INC(($N$16/1000000)*$I$3:$I$523+M265*$J$3:$J$523,0.99)</f>
        <v>69038.072538589578</v>
      </c>
    </row>
    <row r="266" spans="1:14" x14ac:dyDescent="0.2">
      <c r="A266" s="19">
        <v>45936</v>
      </c>
      <c r="B266" s="15">
        <v>3.589</v>
      </c>
      <c r="C266" s="15">
        <v>4.1539999999999999</v>
      </c>
      <c r="D266" s="16">
        <v>1.2000000000000011</v>
      </c>
      <c r="E266" s="16">
        <v>3.3999999999999808</v>
      </c>
      <c r="F266" s="16">
        <f t="shared" si="28"/>
        <v>0</v>
      </c>
      <c r="G266" s="16">
        <f t="shared" si="29"/>
        <v>0</v>
      </c>
      <c r="H266" s="16">
        <f t="shared" si="30"/>
        <v>0</v>
      </c>
      <c r="I266" s="22">
        <f t="shared" si="31"/>
        <v>225.32768064000018</v>
      </c>
      <c r="J266" s="22">
        <f t="shared" si="32"/>
        <v>2505.8872800399863</v>
      </c>
      <c r="K266" s="22">
        <f t="shared" si="33"/>
        <v>12942.478834461341</v>
      </c>
      <c r="M266" s="22">
        <f t="shared" si="27"/>
        <v>4.0999999999999739</v>
      </c>
      <c r="N266" s="22" cm="1">
        <f t="array" ref="N266">_xlfn.PERCENTILE.INC(($N$16/1000000)*$I$3:$I$523+M266*$J$3:$J$523,0.99)</f>
        <v>69506.954657011665</v>
      </c>
    </row>
    <row r="267" spans="1:14" x14ac:dyDescent="0.2">
      <c r="A267" s="19">
        <v>45937</v>
      </c>
      <c r="B267" s="15">
        <v>3.5649999999999999</v>
      </c>
      <c r="C267" s="15">
        <v>4.1239999999999997</v>
      </c>
      <c r="D267" s="16">
        <v>-2.4000000000000021</v>
      </c>
      <c r="E267" s="16">
        <v>-3.0000000000000249</v>
      </c>
      <c r="F267" s="16">
        <f t="shared" si="28"/>
        <v>0</v>
      </c>
      <c r="G267" s="16">
        <f t="shared" si="29"/>
        <v>0</v>
      </c>
      <c r="H267" s="16">
        <f t="shared" si="30"/>
        <v>0</v>
      </c>
      <c r="I267" s="22">
        <f t="shared" si="31"/>
        <v>-450.84927744000038</v>
      </c>
      <c r="J267" s="22">
        <f t="shared" si="32"/>
        <v>-2217.708519000018</v>
      </c>
      <c r="K267" s="22">
        <f t="shared" si="33"/>
        <v>-15225.601391379267</v>
      </c>
      <c r="M267" s="22">
        <f t="shared" si="27"/>
        <v>4.1499999999999737</v>
      </c>
      <c r="N267" s="22" cm="1">
        <f t="array" ref="N267">_xlfn.PERCENTILE.INC(($N$16/1000000)*$I$3:$I$523+M267*$J$3:$J$523,0.99)</f>
        <v>69975.836775433767</v>
      </c>
    </row>
    <row r="268" spans="1:14" x14ac:dyDescent="0.2">
      <c r="A268" s="19">
        <v>45938</v>
      </c>
      <c r="B268" s="15">
        <v>3.5819999999999999</v>
      </c>
      <c r="C268" s="15">
        <v>4.1189999999999998</v>
      </c>
      <c r="D268" s="16">
        <v>1.6999999999999904</v>
      </c>
      <c r="E268" s="16">
        <v>-0.49999999999998934</v>
      </c>
      <c r="F268" s="16">
        <f t="shared" si="28"/>
        <v>0</v>
      </c>
      <c r="G268" s="16">
        <f t="shared" si="29"/>
        <v>0</v>
      </c>
      <c r="H268" s="16">
        <f t="shared" si="30"/>
        <v>0</v>
      </c>
      <c r="I268" s="22">
        <f t="shared" si="31"/>
        <v>319.19513683999821</v>
      </c>
      <c r="J268" s="22">
        <f t="shared" si="32"/>
        <v>-369.18634774999214</v>
      </c>
      <c r="K268" s="22">
        <f t="shared" si="33"/>
        <v>3379.0975462172473</v>
      </c>
      <c r="M268" s="22">
        <f t="shared" si="27"/>
        <v>4.1999999999999735</v>
      </c>
      <c r="N268" s="22" cm="1">
        <f t="array" ref="N268">_xlfn.PERCENTILE.INC(($N$16/1000000)*$I$3:$I$523+M268*$J$3:$J$523,0.99)</f>
        <v>70444.718893855854</v>
      </c>
    </row>
    <row r="269" spans="1:14" x14ac:dyDescent="0.2">
      <c r="A269" s="19">
        <v>45939</v>
      </c>
      <c r="B269" s="15">
        <v>3.5939999999999999</v>
      </c>
      <c r="C269" s="15">
        <v>4.1390000000000002</v>
      </c>
      <c r="D269" s="16">
        <v>1.2000000000000011</v>
      </c>
      <c r="E269" s="16">
        <v>2.0000000000000462</v>
      </c>
      <c r="F269" s="16">
        <f t="shared" si="28"/>
        <v>0</v>
      </c>
      <c r="G269" s="16">
        <f t="shared" si="29"/>
        <v>0</v>
      </c>
      <c r="H269" s="16">
        <f t="shared" si="30"/>
        <v>0</v>
      </c>
      <c r="I269" s="22">
        <f t="shared" si="31"/>
        <v>225.32768064000018</v>
      </c>
      <c r="J269" s="22">
        <f t="shared" si="32"/>
        <v>1475.0184360000339</v>
      </c>
      <c r="K269" s="22">
        <f t="shared" si="33"/>
        <v>9008.6431074760458</v>
      </c>
      <c r="M269" s="22">
        <f t="shared" si="27"/>
        <v>4.2499999999999734</v>
      </c>
      <c r="N269" s="22" cm="1">
        <f t="array" ref="N269">_xlfn.PERCENTILE.INC(($N$16/1000000)*$I$3:$I$523+M269*$J$3:$J$523,0.99)</f>
        <v>70913.601012277955</v>
      </c>
    </row>
    <row r="270" spans="1:14" x14ac:dyDescent="0.2">
      <c r="A270" s="19">
        <v>45940</v>
      </c>
      <c r="B270" s="15">
        <v>3.5030000000000001</v>
      </c>
      <c r="C270" s="15">
        <v>4.0339999999999998</v>
      </c>
      <c r="D270" s="16">
        <v>-9.0999999999999748</v>
      </c>
      <c r="E270" s="16">
        <v>-10.500000000000043</v>
      </c>
      <c r="F270" s="16">
        <f t="shared" si="28"/>
        <v>1</v>
      </c>
      <c r="G270" s="16">
        <f t="shared" si="29"/>
        <v>1</v>
      </c>
      <c r="H270" s="16">
        <f t="shared" si="30"/>
        <v>1</v>
      </c>
      <c r="I270" s="22">
        <f t="shared" si="31"/>
        <v>-1710.8385876399948</v>
      </c>
      <c r="J270" s="22">
        <f t="shared" si="32"/>
        <v>-7789.1793577500312</v>
      </c>
      <c r="K270" s="22">
        <f t="shared" si="33"/>
        <v>-55386.391129395153</v>
      </c>
      <c r="M270" s="22">
        <f t="shared" si="27"/>
        <v>4.2999999999999732</v>
      </c>
      <c r="N270" s="22" cm="1">
        <f t="array" ref="N270">_xlfn.PERCENTILE.INC(($N$16/1000000)*$I$3:$I$523+M270*$J$3:$J$523,0.99)</f>
        <v>71382.483130700057</v>
      </c>
    </row>
    <row r="271" spans="1:14" x14ac:dyDescent="0.2">
      <c r="A271" s="19">
        <v>45943</v>
      </c>
      <c r="B271" s="15">
        <v>3.5030000000000001</v>
      </c>
      <c r="C271" s="15">
        <v>4.0339999999999998</v>
      </c>
      <c r="D271" s="16">
        <v>0</v>
      </c>
      <c r="E271" s="16">
        <v>0</v>
      </c>
      <c r="F271" s="16">
        <f t="shared" si="28"/>
        <v>0</v>
      </c>
      <c r="G271" s="16">
        <f t="shared" si="29"/>
        <v>0</v>
      </c>
      <c r="H271" s="16">
        <f t="shared" si="30"/>
        <v>0</v>
      </c>
      <c r="I271" s="22">
        <f t="shared" si="31"/>
        <v>0</v>
      </c>
      <c r="J271" s="22">
        <f t="shared" si="32"/>
        <v>0</v>
      </c>
      <c r="K271" s="22">
        <f t="shared" si="33"/>
        <v>0</v>
      </c>
      <c r="M271" s="22">
        <f t="shared" si="27"/>
        <v>4.349999999999973</v>
      </c>
      <c r="N271" s="22" cm="1">
        <f t="array" ref="N271">_xlfn.PERCENTILE.INC(($N$16/1000000)*$I$3:$I$523+M271*$J$3:$J$523,0.99)</f>
        <v>71851.365249122144</v>
      </c>
    </row>
    <row r="272" spans="1:14" x14ac:dyDescent="0.2">
      <c r="A272" s="19">
        <v>45944</v>
      </c>
      <c r="B272" s="15">
        <v>3.4820000000000002</v>
      </c>
      <c r="C272" s="15">
        <v>4.0330000000000004</v>
      </c>
      <c r="D272" s="16">
        <v>-2.0999999999999908</v>
      </c>
      <c r="E272" s="16">
        <v>-9.9999999999944578E-2</v>
      </c>
      <c r="F272" s="16">
        <f t="shared" si="28"/>
        <v>0</v>
      </c>
      <c r="G272" s="16">
        <f t="shared" si="29"/>
        <v>0</v>
      </c>
      <c r="H272" s="16">
        <f t="shared" si="30"/>
        <v>0</v>
      </c>
      <c r="I272" s="22">
        <f t="shared" si="31"/>
        <v>-394.4789780399982</v>
      </c>
      <c r="J272" s="22">
        <f t="shared" si="32"/>
        <v>-73.823453909959071</v>
      </c>
      <c r="K272" s="22">
        <f t="shared" si="33"/>
        <v>-6198.8978508551272</v>
      </c>
      <c r="M272" s="22">
        <f t="shared" si="27"/>
        <v>4.3999999999999728</v>
      </c>
      <c r="N272" s="22" cm="1">
        <f t="array" ref="N272">_xlfn.PERCENTILE.INC(($N$16/1000000)*$I$3:$I$523+M272*$J$3:$J$523,0.99)</f>
        <v>72320.247367544245</v>
      </c>
    </row>
    <row r="273" spans="1:14" x14ac:dyDescent="0.2">
      <c r="A273" s="19">
        <v>45945</v>
      </c>
      <c r="B273" s="15">
        <v>3.4980000000000002</v>
      </c>
      <c r="C273" s="15">
        <v>4.0289999999999999</v>
      </c>
      <c r="D273" s="16">
        <v>1.6000000000000014</v>
      </c>
      <c r="E273" s="16">
        <v>-0.40000000000004476</v>
      </c>
      <c r="F273" s="16">
        <f t="shared" si="28"/>
        <v>0</v>
      </c>
      <c r="G273" s="16">
        <f t="shared" si="29"/>
        <v>0</v>
      </c>
      <c r="H273" s="16">
        <f t="shared" si="30"/>
        <v>0</v>
      </c>
      <c r="I273" s="22">
        <f t="shared" si="31"/>
        <v>300.42254336000025</v>
      </c>
      <c r="J273" s="22">
        <f t="shared" si="32"/>
        <v>-295.33526256003302</v>
      </c>
      <c r="K273" s="22">
        <f t="shared" si="33"/>
        <v>3379.3272663149141</v>
      </c>
      <c r="M273" s="22">
        <f t="shared" si="27"/>
        <v>4.4499999999999726</v>
      </c>
      <c r="N273" s="22" cm="1">
        <f t="array" ref="N273">_xlfn.PERCENTILE.INC(($N$16/1000000)*$I$3:$I$523+M273*$J$3:$J$523,0.99)</f>
        <v>72789.129485966332</v>
      </c>
    </row>
    <row r="274" spans="1:14" x14ac:dyDescent="0.2">
      <c r="A274" s="19">
        <v>45946</v>
      </c>
      <c r="B274" s="15">
        <v>3.4249999999999998</v>
      </c>
      <c r="C274" s="15">
        <v>3.9750000000000001</v>
      </c>
      <c r="D274" s="16">
        <v>-7.3000000000000398</v>
      </c>
      <c r="E274" s="16">
        <v>-5.3999999999999826</v>
      </c>
      <c r="F274" s="16">
        <f t="shared" si="28"/>
        <v>1</v>
      </c>
      <c r="G274" s="16">
        <f t="shared" si="29"/>
        <v>1</v>
      </c>
      <c r="H274" s="16">
        <f t="shared" si="30"/>
        <v>1</v>
      </c>
      <c r="I274" s="22">
        <f t="shared" si="31"/>
        <v>-1372.1360407600075</v>
      </c>
      <c r="J274" s="22">
        <f t="shared" si="32"/>
        <v>-3996.3516015599871</v>
      </c>
      <c r="K274" s="22">
        <f t="shared" si="33"/>
        <v>-35832.274235884644</v>
      </c>
      <c r="M274" s="22">
        <f t="shared" si="27"/>
        <v>4.4999999999999725</v>
      </c>
      <c r="N274" s="22" cm="1">
        <f t="array" ref="N274">_xlfn.PERCENTILE.INC(($N$16/1000000)*$I$3:$I$523+M274*$J$3:$J$523,0.99)</f>
        <v>73258.011604388434</v>
      </c>
    </row>
    <row r="275" spans="1:14" x14ac:dyDescent="0.2">
      <c r="A275" s="19">
        <v>45947</v>
      </c>
      <c r="B275" s="15">
        <v>3.4580000000000002</v>
      </c>
      <c r="C275" s="15">
        <v>4.01</v>
      </c>
      <c r="D275" s="16">
        <v>3.3000000000000362</v>
      </c>
      <c r="E275" s="16">
        <v>3.4999999999999698</v>
      </c>
      <c r="F275" s="16">
        <f t="shared" si="28"/>
        <v>0</v>
      </c>
      <c r="G275" s="16">
        <f t="shared" si="29"/>
        <v>0</v>
      </c>
      <c r="H275" s="16">
        <f t="shared" si="30"/>
        <v>0</v>
      </c>
      <c r="I275" s="22">
        <f t="shared" si="31"/>
        <v>619.4955848400067</v>
      </c>
      <c r="J275" s="22">
        <f t="shared" si="32"/>
        <v>2579.4689602499775</v>
      </c>
      <c r="K275" s="22">
        <f t="shared" si="33"/>
        <v>19135.787959845002</v>
      </c>
      <c r="M275" s="22">
        <f t="shared" si="27"/>
        <v>4.5499999999999723</v>
      </c>
      <c r="N275" s="22" cm="1">
        <f t="array" ref="N275">_xlfn.PERCENTILE.INC(($N$16/1000000)*$I$3:$I$523+M275*$J$3:$J$523,0.99)</f>
        <v>73726.893722810521</v>
      </c>
    </row>
    <row r="276" spans="1:14" x14ac:dyDescent="0.2">
      <c r="A276" s="19">
        <v>45950</v>
      </c>
      <c r="B276" s="15">
        <v>3.456</v>
      </c>
      <c r="C276" s="15">
        <v>3.9809999999999999</v>
      </c>
      <c r="D276" s="16">
        <v>-0.20000000000002238</v>
      </c>
      <c r="E276" s="16">
        <v>-2.8999999999999915</v>
      </c>
      <c r="F276" s="16">
        <f t="shared" si="28"/>
        <v>0</v>
      </c>
      <c r="G276" s="16">
        <f t="shared" si="29"/>
        <v>0</v>
      </c>
      <c r="H276" s="16">
        <f t="shared" si="30"/>
        <v>0</v>
      </c>
      <c r="I276" s="22">
        <f t="shared" si="31"/>
        <v>-37.560897760004202</v>
      </c>
      <c r="J276" s="22">
        <f t="shared" si="32"/>
        <v>-2143.6847383099939</v>
      </c>
      <c r="K276" s="22">
        <f t="shared" si="33"/>
        <v>-8743.7980611159292</v>
      </c>
      <c r="M276" s="22">
        <f t="shared" si="27"/>
        <v>4.5999999999999721</v>
      </c>
      <c r="N276" s="22" cm="1">
        <f t="array" ref="N276">_xlfn.PERCENTILE.INC(($N$16/1000000)*$I$3:$I$523+M276*$J$3:$J$523,0.99)</f>
        <v>74195.775841232607</v>
      </c>
    </row>
    <row r="277" spans="1:14" x14ac:dyDescent="0.2">
      <c r="A277" s="19">
        <v>45951</v>
      </c>
      <c r="B277" s="15">
        <v>3.456</v>
      </c>
      <c r="C277" s="15">
        <v>3.964</v>
      </c>
      <c r="D277" s="16">
        <v>0</v>
      </c>
      <c r="E277" s="16">
        <v>-1.6999999999999904</v>
      </c>
      <c r="F277" s="16">
        <f t="shared" si="28"/>
        <v>0</v>
      </c>
      <c r="G277" s="16">
        <f t="shared" si="29"/>
        <v>0</v>
      </c>
      <c r="H277" s="16">
        <f t="shared" si="30"/>
        <v>0</v>
      </c>
      <c r="I277" s="22">
        <f t="shared" si="31"/>
        <v>0</v>
      </c>
      <c r="J277" s="22">
        <f t="shared" si="32"/>
        <v>-1255.9381799899929</v>
      </c>
      <c r="K277" s="22">
        <f t="shared" si="33"/>
        <v>-4792.7090937846242</v>
      </c>
      <c r="M277" s="22">
        <f t="shared" si="27"/>
        <v>4.6499999999999719</v>
      </c>
      <c r="N277" s="22" cm="1">
        <f t="array" ref="N277">_xlfn.PERCENTILE.INC(($N$16/1000000)*$I$3:$I$523+M277*$J$3:$J$523,0.99)</f>
        <v>74664.657959654709</v>
      </c>
    </row>
    <row r="278" spans="1:14" x14ac:dyDescent="0.2">
      <c r="A278" s="19">
        <v>45952</v>
      </c>
      <c r="B278" s="15">
        <v>3.4460000000000002</v>
      </c>
      <c r="C278" s="15">
        <v>3.9510000000000001</v>
      </c>
      <c r="D278" s="16">
        <v>-0.99999999999997868</v>
      </c>
      <c r="E278" s="16">
        <v>-1.2999999999999901</v>
      </c>
      <c r="F278" s="16">
        <f t="shared" si="28"/>
        <v>0</v>
      </c>
      <c r="G278" s="16">
        <f t="shared" si="29"/>
        <v>0</v>
      </c>
      <c r="H278" s="16">
        <f t="shared" si="30"/>
        <v>0</v>
      </c>
      <c r="I278" s="22">
        <f t="shared" si="31"/>
        <v>-187.82244399999598</v>
      </c>
      <c r="J278" s="22">
        <f t="shared" si="32"/>
        <v>-960.24371078999263</v>
      </c>
      <c r="K278" s="22">
        <f t="shared" si="33"/>
        <v>-6481.6641231473377</v>
      </c>
      <c r="M278" s="22">
        <f t="shared" si="27"/>
        <v>4.6999999999999718</v>
      </c>
      <c r="N278" s="22" cm="1">
        <f t="array" ref="N278">_xlfn.PERCENTILE.INC(($N$16/1000000)*$I$3:$I$523+M278*$J$3:$J$523,0.99)</f>
        <v>75133.540078076796</v>
      </c>
    </row>
    <row r="279" spans="1:14" x14ac:dyDescent="0.2">
      <c r="A279" s="19">
        <v>45953</v>
      </c>
      <c r="B279" s="15">
        <v>3.492</v>
      </c>
      <c r="C279" s="15">
        <v>4.0019999999999998</v>
      </c>
      <c r="D279" s="16">
        <v>4.5999999999999819</v>
      </c>
      <c r="E279" s="16">
        <v>5.0999999999999712</v>
      </c>
      <c r="F279" s="16">
        <f t="shared" si="28"/>
        <v>0</v>
      </c>
      <c r="G279" s="16">
        <f t="shared" si="29"/>
        <v>0</v>
      </c>
      <c r="H279" s="16">
        <f t="shared" si="30"/>
        <v>0</v>
      </c>
      <c r="I279" s="22">
        <f t="shared" si="31"/>
        <v>863.40508495999654</v>
      </c>
      <c r="J279" s="22">
        <f t="shared" si="32"/>
        <v>3755.8363800899788</v>
      </c>
      <c r="K279" s="22">
        <f t="shared" si="33"/>
        <v>27283.494430338</v>
      </c>
      <c r="M279" s="22">
        <f t="shared" si="27"/>
        <v>4.7499999999999716</v>
      </c>
      <c r="N279" s="22" cm="1">
        <f t="array" ref="N279">_xlfn.PERCENTILE.INC(($N$16/1000000)*$I$3:$I$523+M279*$J$3:$J$523,0.99)</f>
        <v>75602.422196498897</v>
      </c>
    </row>
    <row r="280" spans="1:14" x14ac:dyDescent="0.2">
      <c r="A280" s="19">
        <v>45954</v>
      </c>
      <c r="B280" s="15">
        <v>3.4830000000000001</v>
      </c>
      <c r="C280" s="15">
        <v>4.0030000000000001</v>
      </c>
      <c r="D280" s="16">
        <v>-0.8999999999999897</v>
      </c>
      <c r="E280" s="16">
        <v>0.1000000000000334</v>
      </c>
      <c r="F280" s="16">
        <f t="shared" si="28"/>
        <v>0</v>
      </c>
      <c r="G280" s="16">
        <f t="shared" si="29"/>
        <v>0</v>
      </c>
      <c r="H280" s="16">
        <f t="shared" si="30"/>
        <v>0</v>
      </c>
      <c r="I280" s="22">
        <f t="shared" si="31"/>
        <v>-169.03817963999805</v>
      </c>
      <c r="J280" s="22">
        <f t="shared" si="32"/>
        <v>73.816546090024659</v>
      </c>
      <c r="K280" s="22">
        <f t="shared" si="33"/>
        <v>-2253.885874855187</v>
      </c>
      <c r="M280" s="22">
        <f t="shared" si="27"/>
        <v>4.7999999999999714</v>
      </c>
      <c r="N280" s="22" cm="1">
        <f t="array" ref="N280">_xlfn.PERCENTILE.INC(($N$16/1000000)*$I$3:$I$523+M280*$J$3:$J$523,0.99)</f>
        <v>76071.304314920984</v>
      </c>
    </row>
    <row r="281" spans="1:14" x14ac:dyDescent="0.2">
      <c r="A281" s="19">
        <v>45957</v>
      </c>
      <c r="B281" s="15">
        <v>3.4929999999999999</v>
      </c>
      <c r="C281" s="15">
        <v>3.9809999999999999</v>
      </c>
      <c r="D281" s="16">
        <v>0.99999999999997868</v>
      </c>
      <c r="E281" s="16">
        <v>-2.2000000000000242</v>
      </c>
      <c r="F281" s="16">
        <f t="shared" si="28"/>
        <v>0</v>
      </c>
      <c r="G281" s="16">
        <f t="shared" si="29"/>
        <v>0</v>
      </c>
      <c r="H281" s="16">
        <f t="shared" si="30"/>
        <v>0</v>
      </c>
      <c r="I281" s="22">
        <f t="shared" si="31"/>
        <v>187.777555999996</v>
      </c>
      <c r="J281" s="22">
        <f t="shared" si="32"/>
        <v>-1625.7116924400182</v>
      </c>
      <c r="K281" s="22">
        <f t="shared" si="33"/>
        <v>-3387.1159035702722</v>
      </c>
      <c r="M281" s="22">
        <f t="shared" si="27"/>
        <v>4.8499999999999712</v>
      </c>
      <c r="N281" s="22" cm="1">
        <f t="array" ref="N281">_xlfn.PERCENTILE.INC(($N$16/1000000)*$I$3:$I$523+M281*$J$3:$J$523,0.99)</f>
        <v>76540.186433343086</v>
      </c>
    </row>
    <row r="282" spans="1:14" x14ac:dyDescent="0.2">
      <c r="A282" s="19">
        <v>45958</v>
      </c>
      <c r="B282" s="15">
        <v>3.4910000000000001</v>
      </c>
      <c r="C282" s="15">
        <v>3.9769999999999999</v>
      </c>
      <c r="D282" s="16">
        <v>-0.19999999999997797</v>
      </c>
      <c r="E282" s="16">
        <v>-0.40000000000000036</v>
      </c>
      <c r="F282" s="16">
        <f t="shared" si="28"/>
        <v>0</v>
      </c>
      <c r="G282" s="16">
        <f t="shared" si="29"/>
        <v>0</v>
      </c>
      <c r="H282" s="16">
        <f t="shared" si="30"/>
        <v>0</v>
      </c>
      <c r="I282" s="22">
        <f t="shared" si="31"/>
        <v>-37.560897759995861</v>
      </c>
      <c r="J282" s="22">
        <f t="shared" si="32"/>
        <v>-295.33526256000027</v>
      </c>
      <c r="K282" s="22">
        <f t="shared" si="33"/>
        <v>-1690.4243504849023</v>
      </c>
      <c r="M282" s="22">
        <f t="shared" ref="M282:M344" si="34">M281+0.05</f>
        <v>4.899999999999971</v>
      </c>
      <c r="N282" s="22" cm="1">
        <f t="array" ref="N282">_xlfn.PERCENTILE.INC(($N$16/1000000)*$I$3:$I$523+M282*$J$3:$J$523,0.99)</f>
        <v>77009.068551765187</v>
      </c>
    </row>
    <row r="283" spans="1:14" x14ac:dyDescent="0.2">
      <c r="A283" s="19">
        <v>45959</v>
      </c>
      <c r="B283" s="15">
        <v>3.5990000000000002</v>
      </c>
      <c r="C283" s="15">
        <v>4.0780000000000003</v>
      </c>
      <c r="D283" s="16">
        <v>10.80000000000001</v>
      </c>
      <c r="E283" s="16">
        <v>10.100000000000042</v>
      </c>
      <c r="F283" s="16">
        <f t="shared" si="28"/>
        <v>1</v>
      </c>
      <c r="G283" s="16">
        <f t="shared" si="29"/>
        <v>1</v>
      </c>
      <c r="H283" s="16">
        <f t="shared" si="30"/>
        <v>1</v>
      </c>
      <c r="I283" s="22">
        <f t="shared" si="31"/>
        <v>2025.6221318400017</v>
      </c>
      <c r="J283" s="22">
        <f t="shared" si="32"/>
        <v>7420.5866640900313</v>
      </c>
      <c r="K283" s="22">
        <f t="shared" si="33"/>
        <v>58701.580193180649</v>
      </c>
      <c r="M283" s="22">
        <f t="shared" si="34"/>
        <v>4.9499999999999709</v>
      </c>
      <c r="N283" s="22" cm="1">
        <f t="array" ref="N283">_xlfn.PERCENTILE.INC(($N$16/1000000)*$I$3:$I$523+M283*$J$3:$J$523,0.99)</f>
        <v>77477.950670187274</v>
      </c>
    </row>
    <row r="284" spans="1:14" x14ac:dyDescent="0.2">
      <c r="A284" s="19">
        <v>45960</v>
      </c>
      <c r="B284" s="15">
        <v>3.61</v>
      </c>
      <c r="C284" s="15">
        <v>4.0990000000000002</v>
      </c>
      <c r="D284" s="16">
        <v>1.0999999999999677</v>
      </c>
      <c r="E284" s="16">
        <v>2.0999999999999908</v>
      </c>
      <c r="F284" s="16">
        <f t="shared" si="28"/>
        <v>0</v>
      </c>
      <c r="G284" s="16">
        <f t="shared" si="29"/>
        <v>0</v>
      </c>
      <c r="H284" s="16">
        <f t="shared" si="30"/>
        <v>0</v>
      </c>
      <c r="I284" s="22">
        <f t="shared" si="31"/>
        <v>206.55284275999389</v>
      </c>
      <c r="J284" s="22">
        <f t="shared" si="32"/>
        <v>1548.6968256899929</v>
      </c>
      <c r="K284" s="22">
        <f t="shared" si="33"/>
        <v>9008.1801488080764</v>
      </c>
      <c r="M284" s="22">
        <f t="shared" si="34"/>
        <v>4.9999999999999707</v>
      </c>
      <c r="N284" s="22" cm="1">
        <f t="array" ref="N284">_xlfn.PERCENTILE.INC(($N$16/1000000)*$I$3:$I$523+M284*$J$3:$J$523,0.99)</f>
        <v>77946.832788609361</v>
      </c>
    </row>
    <row r="285" spans="1:14" x14ac:dyDescent="0.2">
      <c r="A285" s="19">
        <v>45961</v>
      </c>
      <c r="B285" s="15">
        <v>3.5750000000000002</v>
      </c>
      <c r="C285" s="15">
        <v>4.0780000000000003</v>
      </c>
      <c r="D285" s="16">
        <v>-3.4999999999999698</v>
      </c>
      <c r="E285" s="16">
        <v>-2.0999999999999908</v>
      </c>
      <c r="F285" s="16">
        <f t="shared" si="28"/>
        <v>0</v>
      </c>
      <c r="G285" s="16">
        <f t="shared" si="29"/>
        <v>0</v>
      </c>
      <c r="H285" s="16">
        <f t="shared" si="30"/>
        <v>0</v>
      </c>
      <c r="I285" s="22">
        <f t="shared" si="31"/>
        <v>-657.57493899999417</v>
      </c>
      <c r="J285" s="22">
        <f t="shared" si="32"/>
        <v>-1551.743174309993</v>
      </c>
      <c r="K285" s="22">
        <f t="shared" si="33"/>
        <v>-15785.136577591689</v>
      </c>
      <c r="M285" s="22">
        <f t="shared" si="34"/>
        <v>5.0499999999999705</v>
      </c>
      <c r="N285" s="22" cm="1">
        <f t="array" ref="N285">_xlfn.PERCENTILE.INC(($N$16/1000000)*$I$3:$I$523+M285*$J$3:$J$523,0.99)</f>
        <v>78415.714907031463</v>
      </c>
    </row>
    <row r="286" spans="1:14" x14ac:dyDescent="0.2">
      <c r="A286" s="19">
        <v>45964</v>
      </c>
      <c r="B286" s="15">
        <v>3.6059999999999999</v>
      </c>
      <c r="C286" s="15">
        <v>4.1109999999999998</v>
      </c>
      <c r="D286" s="16">
        <v>3.0999999999999694</v>
      </c>
      <c r="E286" s="16">
        <v>3.2999999999999474</v>
      </c>
      <c r="F286" s="16">
        <f t="shared" si="28"/>
        <v>0</v>
      </c>
      <c r="G286" s="16">
        <f t="shared" si="29"/>
        <v>0</v>
      </c>
      <c r="H286" s="16">
        <f t="shared" si="30"/>
        <v>0</v>
      </c>
      <c r="I286" s="22">
        <f t="shared" si="31"/>
        <v>581.96431315999416</v>
      </c>
      <c r="J286" s="22">
        <f t="shared" si="32"/>
        <v>2432.2986920099611</v>
      </c>
      <c r="K286" s="22">
        <f t="shared" si="33"/>
        <v>18011.211399366941</v>
      </c>
      <c r="M286" s="22">
        <f t="shared" si="34"/>
        <v>5.0999999999999703</v>
      </c>
      <c r="N286" s="22" cm="1">
        <f t="array" ref="N286">_xlfn.PERCENTILE.INC(($N$16/1000000)*$I$3:$I$523+M286*$J$3:$J$523,0.99)</f>
        <v>78884.59702545355</v>
      </c>
    </row>
    <row r="287" spans="1:14" x14ac:dyDescent="0.2">
      <c r="A287" s="19">
        <v>45965</v>
      </c>
      <c r="B287" s="15">
        <v>3.577</v>
      </c>
      <c r="C287" s="15">
        <v>4.0860000000000003</v>
      </c>
      <c r="D287" s="16">
        <v>-2.8999999999999915</v>
      </c>
      <c r="E287" s="16">
        <v>-2.4999999999999467</v>
      </c>
      <c r="F287" s="16">
        <f t="shared" si="28"/>
        <v>0</v>
      </c>
      <c r="G287" s="16">
        <f t="shared" si="29"/>
        <v>0</v>
      </c>
      <c r="H287" s="16">
        <f t="shared" si="30"/>
        <v>0</v>
      </c>
      <c r="I287" s="22">
        <f t="shared" si="31"/>
        <v>-544.80875403999835</v>
      </c>
      <c r="J287" s="22">
        <f t="shared" si="32"/>
        <v>-1847.6586937499605</v>
      </c>
      <c r="K287" s="22">
        <f t="shared" si="33"/>
        <v>-15222.868970168707</v>
      </c>
      <c r="M287" s="22">
        <f t="shared" si="34"/>
        <v>5.1499999999999702</v>
      </c>
      <c r="N287" s="22" cm="1">
        <f t="array" ref="N287">_xlfn.PERCENTILE.INC(($N$16/1000000)*$I$3:$I$523+M287*$J$3:$J$523,0.99)</f>
        <v>79353.479143875637</v>
      </c>
    </row>
    <row r="288" spans="1:14" x14ac:dyDescent="0.2">
      <c r="A288" s="19">
        <v>45966</v>
      </c>
      <c r="B288" s="15">
        <v>3.6320000000000001</v>
      </c>
      <c r="C288" s="15">
        <v>4.16</v>
      </c>
      <c r="D288" s="16">
        <v>5.500000000000016</v>
      </c>
      <c r="E288" s="16">
        <v>7.3999999999999844</v>
      </c>
      <c r="F288" s="16">
        <f t="shared" si="28"/>
        <v>1</v>
      </c>
      <c r="G288" s="16">
        <f t="shared" si="29"/>
        <v>1</v>
      </c>
      <c r="H288" s="16">
        <f t="shared" si="30"/>
        <v>1</v>
      </c>
      <c r="I288" s="22">
        <f t="shared" si="31"/>
        <v>1032.2210690000029</v>
      </c>
      <c r="J288" s="22">
        <f t="shared" si="32"/>
        <v>5443.7663888399893</v>
      </c>
      <c r="K288" s="22">
        <f t="shared" si="33"/>
        <v>36256.940956921273</v>
      </c>
      <c r="M288" s="22">
        <f t="shared" si="34"/>
        <v>5.19999999999997</v>
      </c>
      <c r="N288" s="22" cm="1">
        <f t="array" ref="N288">_xlfn.PERCENTILE.INC(($N$16/1000000)*$I$3:$I$523+M288*$J$3:$J$523,0.99)</f>
        <v>79822.361262297738</v>
      </c>
    </row>
    <row r="289" spans="1:14" x14ac:dyDescent="0.2">
      <c r="A289" s="19">
        <v>45967</v>
      </c>
      <c r="B289" s="15">
        <v>3.556</v>
      </c>
      <c r="C289" s="15">
        <v>4.0839999999999996</v>
      </c>
      <c r="D289" s="16">
        <v>-7.6000000000000068</v>
      </c>
      <c r="E289" s="16">
        <v>-7.6000000000000512</v>
      </c>
      <c r="F289" s="16">
        <f t="shared" si="28"/>
        <v>1</v>
      </c>
      <c r="G289" s="16">
        <f t="shared" si="29"/>
        <v>1</v>
      </c>
      <c r="H289" s="16">
        <f t="shared" si="30"/>
        <v>1</v>
      </c>
      <c r="I289" s="22">
        <f t="shared" si="31"/>
        <v>-1428.5763654400014</v>
      </c>
      <c r="J289" s="22">
        <f t="shared" si="32"/>
        <v>-5630.2697841600384</v>
      </c>
      <c r="K289" s="22">
        <f t="shared" si="33"/>
        <v>-42913.97463627196</v>
      </c>
      <c r="M289" s="22">
        <f t="shared" si="34"/>
        <v>5.2499999999999698</v>
      </c>
      <c r="N289" s="22" cm="1">
        <f t="array" ref="N289">_xlfn.PERCENTILE.INC(($N$16/1000000)*$I$3:$I$523+M289*$J$3:$J$523,0.99)</f>
        <v>80291.243380719825</v>
      </c>
    </row>
    <row r="290" spans="1:14" x14ac:dyDescent="0.2">
      <c r="A290" s="19">
        <v>45968</v>
      </c>
      <c r="B290" s="15">
        <v>3.5630000000000002</v>
      </c>
      <c r="C290" s="15">
        <v>4.0979999999999999</v>
      </c>
      <c r="D290" s="16">
        <v>0.70000000000001172</v>
      </c>
      <c r="E290" s="16">
        <v>1.4000000000000234</v>
      </c>
      <c r="F290" s="16">
        <f t="shared" si="28"/>
        <v>0</v>
      </c>
      <c r="G290" s="16">
        <f t="shared" si="29"/>
        <v>0</v>
      </c>
      <c r="H290" s="16">
        <f t="shared" si="30"/>
        <v>0</v>
      </c>
      <c r="I290" s="22">
        <f t="shared" si="31"/>
        <v>131.4490024400022</v>
      </c>
      <c r="J290" s="22">
        <f t="shared" si="32"/>
        <v>1032.803033640017</v>
      </c>
      <c r="K290" s="22">
        <f t="shared" si="33"/>
        <v>5912.9517065592954</v>
      </c>
      <c r="M290" s="22">
        <f t="shared" si="34"/>
        <v>5.2999999999999696</v>
      </c>
      <c r="N290" s="22" cm="1">
        <f t="array" ref="N290">_xlfn.PERCENTILE.INC(($N$16/1000000)*$I$3:$I$523+M290*$J$3:$J$523,0.99)</f>
        <v>80760.125499141926</v>
      </c>
    </row>
    <row r="291" spans="1:14" x14ac:dyDescent="0.2">
      <c r="A291" s="19">
        <v>45971</v>
      </c>
      <c r="B291" s="15">
        <v>3.5920000000000001</v>
      </c>
      <c r="C291" s="15">
        <v>4.117</v>
      </c>
      <c r="D291" s="16">
        <v>2.8999999999999915</v>
      </c>
      <c r="E291" s="16">
        <v>1.9000000000000128</v>
      </c>
      <c r="F291" s="16">
        <f t="shared" si="28"/>
        <v>0</v>
      </c>
      <c r="G291" s="16">
        <f t="shared" si="29"/>
        <v>0</v>
      </c>
      <c r="H291" s="16">
        <f t="shared" si="30"/>
        <v>0</v>
      </c>
      <c r="I291" s="22">
        <f t="shared" si="31"/>
        <v>544.43124595999825</v>
      </c>
      <c r="J291" s="22">
        <f t="shared" si="32"/>
        <v>1401.3331384900093</v>
      </c>
      <c r="K291" s="22">
        <f t="shared" si="33"/>
        <v>13514.010617233022</v>
      </c>
      <c r="M291" s="22">
        <f t="shared" si="34"/>
        <v>5.3499999999999694</v>
      </c>
      <c r="N291" s="22" cm="1">
        <f t="array" ref="N291">_xlfn.PERCENTILE.INC(($N$16/1000000)*$I$3:$I$523+M291*$J$3:$J$523,0.99)</f>
        <v>81229.007617564028</v>
      </c>
    </row>
    <row r="292" spans="1:14" x14ac:dyDescent="0.2">
      <c r="A292" s="19">
        <v>45972</v>
      </c>
      <c r="B292" s="15">
        <v>3.5920000000000001</v>
      </c>
      <c r="C292" s="15">
        <v>4.117</v>
      </c>
      <c r="D292" s="16">
        <v>0</v>
      </c>
      <c r="E292" s="16">
        <v>0</v>
      </c>
      <c r="F292" s="16">
        <f t="shared" si="28"/>
        <v>0</v>
      </c>
      <c r="G292" s="16">
        <f t="shared" si="29"/>
        <v>0</v>
      </c>
      <c r="H292" s="16">
        <f t="shared" si="30"/>
        <v>0</v>
      </c>
      <c r="I292" s="22">
        <f t="shared" si="31"/>
        <v>0</v>
      </c>
      <c r="J292" s="22">
        <f t="shared" si="32"/>
        <v>0</v>
      </c>
      <c r="K292" s="22">
        <f t="shared" si="33"/>
        <v>0</v>
      </c>
      <c r="M292" s="22">
        <f t="shared" si="34"/>
        <v>5.3999999999999693</v>
      </c>
      <c r="N292" s="22" cm="1">
        <f t="array" ref="N292">_xlfn.PERCENTILE.INC(($N$16/1000000)*$I$3:$I$523+M292*$J$3:$J$523,0.99)</f>
        <v>81697.889735986115</v>
      </c>
    </row>
    <row r="293" spans="1:14" x14ac:dyDescent="0.2">
      <c r="A293" s="19">
        <v>45973</v>
      </c>
      <c r="B293" s="15">
        <v>3.57</v>
      </c>
      <c r="C293" s="15">
        <v>4.07</v>
      </c>
      <c r="D293" s="16">
        <v>-2.2000000000000242</v>
      </c>
      <c r="E293" s="16">
        <v>-4.6999999999999709</v>
      </c>
      <c r="F293" s="16">
        <f t="shared" si="28"/>
        <v>0</v>
      </c>
      <c r="G293" s="16">
        <f t="shared" si="29"/>
        <v>1</v>
      </c>
      <c r="H293" s="16">
        <f t="shared" si="30"/>
        <v>0</v>
      </c>
      <c r="I293" s="22">
        <f t="shared" si="31"/>
        <v>-413.26862896000449</v>
      </c>
      <c r="J293" s="22">
        <f t="shared" si="32"/>
        <v>-3477.169687189979</v>
      </c>
      <c r="K293" s="22">
        <f t="shared" si="33"/>
        <v>-19468.044618380249</v>
      </c>
      <c r="M293" s="22">
        <f t="shared" si="34"/>
        <v>5.4499999999999691</v>
      </c>
      <c r="N293" s="22" cm="1">
        <f t="array" ref="N293">_xlfn.PERCENTILE.INC(($N$16/1000000)*$I$3:$I$523+M293*$J$3:$J$523,0.99)</f>
        <v>82166.771854408216</v>
      </c>
    </row>
    <row r="294" spans="1:14" x14ac:dyDescent="0.2">
      <c r="A294" s="19">
        <v>45974</v>
      </c>
      <c r="B294" s="15">
        <v>3.5920000000000001</v>
      </c>
      <c r="C294" s="15">
        <v>4.12</v>
      </c>
      <c r="D294" s="16">
        <v>2.2000000000000242</v>
      </c>
      <c r="E294" s="16">
        <v>4.9999999999999822</v>
      </c>
      <c r="F294" s="16">
        <f t="shared" si="28"/>
        <v>0</v>
      </c>
      <c r="G294" s="16">
        <f t="shared" si="29"/>
        <v>0</v>
      </c>
      <c r="H294" s="16">
        <f t="shared" si="30"/>
        <v>0</v>
      </c>
      <c r="I294" s="22">
        <f t="shared" si="31"/>
        <v>413.05137104000454</v>
      </c>
      <c r="J294" s="22">
        <f t="shared" si="32"/>
        <v>3682.3652249999873</v>
      </c>
      <c r="K294" s="22">
        <f t="shared" si="33"/>
        <v>20247.819927324483</v>
      </c>
      <c r="M294" s="22">
        <f t="shared" si="34"/>
        <v>5.4999999999999689</v>
      </c>
      <c r="N294" s="22" cm="1">
        <f t="array" ref="N294">_xlfn.PERCENTILE.INC(($N$16/1000000)*$I$3:$I$523+M294*$J$3:$J$523,0.99)</f>
        <v>82635.653972830303</v>
      </c>
    </row>
    <row r="295" spans="1:14" x14ac:dyDescent="0.2">
      <c r="A295" s="19">
        <v>45975</v>
      </c>
      <c r="B295" s="15">
        <v>3.6080000000000001</v>
      </c>
      <c r="C295" s="15">
        <v>4.149</v>
      </c>
      <c r="D295" s="16">
        <v>1.6000000000000014</v>
      </c>
      <c r="E295" s="16">
        <v>2.8999999999999915</v>
      </c>
      <c r="F295" s="16">
        <f t="shared" si="28"/>
        <v>0</v>
      </c>
      <c r="G295" s="16">
        <f t="shared" si="29"/>
        <v>0</v>
      </c>
      <c r="H295" s="16">
        <f t="shared" si="30"/>
        <v>0</v>
      </c>
      <c r="I295" s="22">
        <f t="shared" si="31"/>
        <v>300.42254336000025</v>
      </c>
      <c r="J295" s="22">
        <f t="shared" si="32"/>
        <v>2137.8752616899937</v>
      </c>
      <c r="K295" s="22">
        <f t="shared" si="33"/>
        <v>12664.55355568409</v>
      </c>
      <c r="M295" s="22">
        <f t="shared" si="34"/>
        <v>5.5499999999999687</v>
      </c>
      <c r="N295" s="22" cm="1">
        <f t="array" ref="N295">_xlfn.PERCENTILE.INC(($N$16/1000000)*$I$3:$I$523+M295*$J$3:$J$523,0.99)</f>
        <v>83104.53609125239</v>
      </c>
    </row>
    <row r="296" spans="1:14" x14ac:dyDescent="0.2">
      <c r="A296" s="19">
        <v>45978</v>
      </c>
      <c r="B296" s="15">
        <v>3.6110000000000002</v>
      </c>
      <c r="C296" s="15">
        <v>4.1399999999999997</v>
      </c>
      <c r="D296" s="16">
        <v>0.30000000000001137</v>
      </c>
      <c r="E296" s="16">
        <v>-0.90000000000003411</v>
      </c>
      <c r="F296" s="16">
        <f t="shared" si="28"/>
        <v>0</v>
      </c>
      <c r="G296" s="16">
        <f t="shared" si="29"/>
        <v>0</v>
      </c>
      <c r="H296" s="16">
        <f t="shared" si="30"/>
        <v>0</v>
      </c>
      <c r="I296" s="22">
        <f t="shared" si="31"/>
        <v>56.33798004000213</v>
      </c>
      <c r="J296" s="22">
        <f t="shared" si="32"/>
        <v>-664.65976671002511</v>
      </c>
      <c r="K296" s="22">
        <f t="shared" si="33"/>
        <v>-1691.2979000801911</v>
      </c>
      <c r="M296" s="22">
        <f t="shared" si="34"/>
        <v>5.5999999999999686</v>
      </c>
      <c r="N296" s="22" cm="1">
        <f t="array" ref="N296">_xlfn.PERCENTILE.INC(($N$16/1000000)*$I$3:$I$523+M296*$J$3:$J$523,0.99)</f>
        <v>83573.418209674492</v>
      </c>
    </row>
    <row r="297" spans="1:14" x14ac:dyDescent="0.2">
      <c r="A297" s="19">
        <v>45979</v>
      </c>
      <c r="B297" s="15">
        <v>3.5739999999999998</v>
      </c>
      <c r="C297" s="15">
        <v>4.1139999999999999</v>
      </c>
      <c r="D297" s="16">
        <v>-3.7000000000000366</v>
      </c>
      <c r="E297" s="16">
        <v>-2.5999999999999801</v>
      </c>
      <c r="F297" s="16">
        <f t="shared" si="28"/>
        <v>0</v>
      </c>
      <c r="G297" s="16">
        <f t="shared" si="29"/>
        <v>0</v>
      </c>
      <c r="H297" s="16">
        <f t="shared" si="30"/>
        <v>0</v>
      </c>
      <c r="I297" s="22">
        <f t="shared" si="31"/>
        <v>-695.16725836000683</v>
      </c>
      <c r="J297" s="22">
        <f t="shared" si="32"/>
        <v>-1921.6548431599854</v>
      </c>
      <c r="K297" s="22">
        <f t="shared" si="33"/>
        <v>-17760.618727989749</v>
      </c>
      <c r="M297" s="22">
        <f t="shared" si="34"/>
        <v>5.6499999999999684</v>
      </c>
      <c r="N297" s="22" cm="1">
        <f t="array" ref="N297">_xlfn.PERCENTILE.INC(($N$16/1000000)*$I$3:$I$523+M297*$J$3:$J$523,0.99)</f>
        <v>84042.300328096579</v>
      </c>
    </row>
    <row r="298" spans="1:14" x14ac:dyDescent="0.2">
      <c r="A298" s="19">
        <v>45980</v>
      </c>
      <c r="B298" s="15">
        <v>3.593</v>
      </c>
      <c r="C298" s="15">
        <v>4.1379999999999999</v>
      </c>
      <c r="D298" s="16">
        <v>1.9000000000000128</v>
      </c>
      <c r="E298" s="16">
        <v>2.4000000000000021</v>
      </c>
      <c r="F298" s="16">
        <f t="shared" si="28"/>
        <v>0</v>
      </c>
      <c r="G298" s="16">
        <f t="shared" si="29"/>
        <v>0</v>
      </c>
      <c r="H298" s="16">
        <f t="shared" si="30"/>
        <v>0</v>
      </c>
      <c r="I298" s="22">
        <f t="shared" si="31"/>
        <v>356.73897716000243</v>
      </c>
      <c r="J298" s="22">
        <f t="shared" si="32"/>
        <v>1769.6905478400013</v>
      </c>
      <c r="K298" s="22">
        <f t="shared" si="33"/>
        <v>12104.292830341357</v>
      </c>
      <c r="M298" s="22">
        <f t="shared" si="34"/>
        <v>5.6999999999999682</v>
      </c>
      <c r="N298" s="22" cm="1">
        <f t="array" ref="N298">_xlfn.PERCENTILE.INC(($N$16/1000000)*$I$3:$I$523+M298*$J$3:$J$523,0.99)</f>
        <v>84511.18244651868</v>
      </c>
    </row>
    <row r="299" spans="1:14" x14ac:dyDescent="0.2">
      <c r="A299" s="19">
        <v>45981</v>
      </c>
      <c r="B299" s="15">
        <v>3.5339999999999998</v>
      </c>
      <c r="C299" s="15">
        <v>4.085</v>
      </c>
      <c r="D299" s="16">
        <v>-5.9000000000000163</v>
      </c>
      <c r="E299" s="16">
        <v>-5.2999999999999936</v>
      </c>
      <c r="F299" s="16">
        <f t="shared" si="28"/>
        <v>1</v>
      </c>
      <c r="G299" s="16">
        <f t="shared" si="29"/>
        <v>1</v>
      </c>
      <c r="H299" s="16">
        <f t="shared" si="30"/>
        <v>1</v>
      </c>
      <c r="I299" s="22">
        <f t="shared" si="31"/>
        <v>-1108.801275640003</v>
      </c>
      <c r="J299" s="22">
        <f t="shared" si="32"/>
        <v>-3922.1620331899953</v>
      </c>
      <c r="K299" s="22">
        <f t="shared" si="33"/>
        <v>-31599.142471766419</v>
      </c>
      <c r="M299" s="22">
        <f t="shared" si="34"/>
        <v>5.749999999999968</v>
      </c>
      <c r="N299" s="22" cm="1">
        <f t="array" ref="N299">_xlfn.PERCENTILE.INC(($N$16/1000000)*$I$3:$I$523+M299*$J$3:$J$523,0.99)</f>
        <v>84980.064564940767</v>
      </c>
    </row>
    <row r="300" spans="1:14" x14ac:dyDescent="0.2">
      <c r="A300" s="19">
        <v>45982</v>
      </c>
      <c r="B300" s="15">
        <v>3.51</v>
      </c>
      <c r="C300" s="15">
        <v>4.0650000000000004</v>
      </c>
      <c r="D300" s="16">
        <v>-2.4000000000000021</v>
      </c>
      <c r="E300" s="16">
        <v>-1.9999999999999574</v>
      </c>
      <c r="F300" s="16">
        <f t="shared" si="28"/>
        <v>0</v>
      </c>
      <c r="G300" s="16">
        <f t="shared" si="29"/>
        <v>0</v>
      </c>
      <c r="H300" s="16">
        <f t="shared" si="30"/>
        <v>0</v>
      </c>
      <c r="I300" s="22">
        <f t="shared" si="31"/>
        <v>-450.84927744000038</v>
      </c>
      <c r="J300" s="22">
        <f t="shared" si="32"/>
        <v>-1477.7815639999687</v>
      </c>
      <c r="K300" s="22">
        <f t="shared" si="33"/>
        <v>-12402.011263723973</v>
      </c>
      <c r="M300" s="22">
        <f t="shared" si="34"/>
        <v>5.7999999999999678</v>
      </c>
      <c r="N300" s="22" cm="1">
        <f t="array" ref="N300">_xlfn.PERCENTILE.INC(($N$16/1000000)*$I$3:$I$523+M300*$J$3:$J$523,0.99)</f>
        <v>85448.946683362868</v>
      </c>
    </row>
    <row r="301" spans="1:14" x14ac:dyDescent="0.2">
      <c r="A301" s="19">
        <v>45985</v>
      </c>
      <c r="B301" s="15">
        <v>3.4980000000000002</v>
      </c>
      <c r="C301" s="15">
        <v>4.0259999999999998</v>
      </c>
      <c r="D301" s="16">
        <v>-1.1999999999999567</v>
      </c>
      <c r="E301" s="16">
        <v>-3.900000000000059</v>
      </c>
      <c r="F301" s="16">
        <f t="shared" si="28"/>
        <v>0</v>
      </c>
      <c r="G301" s="16">
        <f t="shared" si="29"/>
        <v>0</v>
      </c>
      <c r="H301" s="16">
        <f t="shared" si="30"/>
        <v>0</v>
      </c>
      <c r="I301" s="22">
        <f t="shared" si="31"/>
        <v>-225.3923193599918</v>
      </c>
      <c r="J301" s="22">
        <f t="shared" si="32"/>
        <v>-2884.2333971100429</v>
      </c>
      <c r="K301" s="22">
        <f t="shared" si="33"/>
        <v>-14387.231958726876</v>
      </c>
      <c r="M301" s="22">
        <f t="shared" si="34"/>
        <v>5.8499999999999677</v>
      </c>
      <c r="N301" s="22" cm="1">
        <f t="array" ref="N301">_xlfn.PERCENTILE.INC(($N$16/1000000)*$I$3:$I$523+M301*$J$3:$J$523,0.99)</f>
        <v>85917.82880178497</v>
      </c>
    </row>
    <row r="302" spans="1:14" x14ac:dyDescent="0.2">
      <c r="A302" s="19">
        <v>45986</v>
      </c>
      <c r="B302" s="15">
        <v>3.46</v>
      </c>
      <c r="C302" s="15">
        <v>3.9969999999999999</v>
      </c>
      <c r="D302" s="16">
        <v>-3.8000000000000256</v>
      </c>
      <c r="E302" s="16">
        <v>-2.8999999999999915</v>
      </c>
      <c r="F302" s="16">
        <f t="shared" si="28"/>
        <v>0</v>
      </c>
      <c r="G302" s="16">
        <f t="shared" si="29"/>
        <v>0</v>
      </c>
      <c r="H302" s="16">
        <f t="shared" si="30"/>
        <v>0</v>
      </c>
      <c r="I302" s="22">
        <f t="shared" si="31"/>
        <v>-713.96409136000477</v>
      </c>
      <c r="J302" s="22">
        <f t="shared" si="32"/>
        <v>-2143.6847383099939</v>
      </c>
      <c r="K302" s="22">
        <f t="shared" si="33"/>
        <v>-18889.845965115936</v>
      </c>
      <c r="M302" s="22">
        <f t="shared" si="34"/>
        <v>5.8999999999999675</v>
      </c>
      <c r="N302" s="22" cm="1">
        <f t="array" ref="N302">_xlfn.PERCENTILE.INC(($N$16/1000000)*$I$3:$I$523+M302*$J$3:$J$523,0.99)</f>
        <v>86386.710920207057</v>
      </c>
    </row>
    <row r="303" spans="1:14" x14ac:dyDescent="0.2">
      <c r="A303" s="19">
        <v>45987</v>
      </c>
      <c r="B303" s="15">
        <v>3.4769999999999999</v>
      </c>
      <c r="C303" s="15">
        <v>3.9950000000000001</v>
      </c>
      <c r="D303" s="16">
        <v>1.6999999999999904</v>
      </c>
      <c r="E303" s="16">
        <v>-0.19999999999997797</v>
      </c>
      <c r="F303" s="16">
        <f t="shared" si="28"/>
        <v>0</v>
      </c>
      <c r="G303" s="16">
        <f t="shared" si="29"/>
        <v>0</v>
      </c>
      <c r="H303" s="16">
        <f t="shared" si="30"/>
        <v>0</v>
      </c>
      <c r="I303" s="22">
        <f t="shared" si="31"/>
        <v>319.19513683999821</v>
      </c>
      <c r="J303" s="22">
        <f t="shared" si="32"/>
        <v>-147.65381563998375</v>
      </c>
      <c r="K303" s="22">
        <f t="shared" si="33"/>
        <v>4224.4743315787937</v>
      </c>
      <c r="M303" s="22">
        <f t="shared" si="34"/>
        <v>5.9499999999999673</v>
      </c>
      <c r="N303" s="22" cm="1">
        <f t="array" ref="N303">_xlfn.PERCENTILE.INC(($N$16/1000000)*$I$3:$I$523+M303*$J$3:$J$523,0.99)</f>
        <v>86855.593038629144</v>
      </c>
    </row>
    <row r="304" spans="1:14" x14ac:dyDescent="0.2">
      <c r="A304" s="19">
        <v>45988</v>
      </c>
      <c r="B304" s="15">
        <v>3.4769999999999999</v>
      </c>
      <c r="C304" s="15">
        <v>3.9950000000000001</v>
      </c>
      <c r="D304" s="16">
        <v>0</v>
      </c>
      <c r="E304" s="16">
        <v>0</v>
      </c>
      <c r="F304" s="16">
        <f t="shared" si="28"/>
        <v>0</v>
      </c>
      <c r="G304" s="16">
        <f t="shared" si="29"/>
        <v>0</v>
      </c>
      <c r="H304" s="16">
        <f t="shared" si="30"/>
        <v>0</v>
      </c>
      <c r="I304" s="22">
        <f t="shared" si="31"/>
        <v>0</v>
      </c>
      <c r="J304" s="22">
        <f t="shared" si="32"/>
        <v>0</v>
      </c>
      <c r="K304" s="22">
        <f t="shared" si="33"/>
        <v>0</v>
      </c>
      <c r="M304" s="22">
        <f t="shared" si="34"/>
        <v>5.9999999999999671</v>
      </c>
      <c r="N304" s="22" cm="1">
        <f t="array" ref="N304">_xlfn.PERCENTILE.INC(($N$16/1000000)*$I$3:$I$523+M304*$J$3:$J$523,0.99)</f>
        <v>87324.475157051245</v>
      </c>
    </row>
    <row r="305" spans="1:14" x14ac:dyDescent="0.2">
      <c r="A305" s="19">
        <v>45989</v>
      </c>
      <c r="B305" s="15">
        <v>3.4910000000000001</v>
      </c>
      <c r="C305" s="15">
        <v>4.0149999999999997</v>
      </c>
      <c r="D305" s="16">
        <v>1.4000000000000234</v>
      </c>
      <c r="E305" s="16">
        <v>1.9999999999999574</v>
      </c>
      <c r="F305" s="16">
        <f t="shared" si="28"/>
        <v>0</v>
      </c>
      <c r="G305" s="16">
        <f t="shared" si="29"/>
        <v>0</v>
      </c>
      <c r="H305" s="16">
        <f t="shared" si="30"/>
        <v>0</v>
      </c>
      <c r="I305" s="22">
        <f t="shared" si="31"/>
        <v>262.87600976000442</v>
      </c>
      <c r="J305" s="22">
        <f t="shared" si="32"/>
        <v>1475.0184359999685</v>
      </c>
      <c r="K305" s="22">
        <f t="shared" si="33"/>
        <v>9571.8680442758596</v>
      </c>
      <c r="M305" s="22">
        <f t="shared" si="34"/>
        <v>6.049999999999967</v>
      </c>
      <c r="N305" s="22" cm="1">
        <f t="array" ref="N305">_xlfn.PERCENTILE.INC(($N$16/1000000)*$I$3:$I$523+M305*$J$3:$J$523,0.99)</f>
        <v>87793.357275473332</v>
      </c>
    </row>
    <row r="306" spans="1:14" x14ac:dyDescent="0.2">
      <c r="A306" s="19">
        <v>45992</v>
      </c>
      <c r="B306" s="15">
        <v>3.5310000000000001</v>
      </c>
      <c r="C306" s="15">
        <v>4.0869999999999997</v>
      </c>
      <c r="D306" s="16">
        <v>4.0000000000000036</v>
      </c>
      <c r="E306" s="16">
        <v>7.2000000000000064</v>
      </c>
      <c r="F306" s="16">
        <f t="shared" si="28"/>
        <v>0</v>
      </c>
      <c r="G306" s="16">
        <f t="shared" si="29"/>
        <v>1</v>
      </c>
      <c r="H306" s="16">
        <f t="shared" si="30"/>
        <v>0</v>
      </c>
      <c r="I306" s="22">
        <f t="shared" si="31"/>
        <v>750.84089600000061</v>
      </c>
      <c r="J306" s="22">
        <f t="shared" si="32"/>
        <v>5297.1349305600042</v>
      </c>
      <c r="K306" s="22">
        <f t="shared" si="33"/>
        <v>31476.686996471875</v>
      </c>
      <c r="M306" s="22">
        <f t="shared" si="34"/>
        <v>6.0999999999999668</v>
      </c>
      <c r="N306" s="22" cm="1">
        <f t="array" ref="N306">_xlfn.PERCENTILE.INC(($N$16/1000000)*$I$3:$I$523+M306*$J$3:$J$523,0.99)</f>
        <v>88262.239393895434</v>
      </c>
    </row>
    <row r="307" spans="1:14" x14ac:dyDescent="0.2">
      <c r="A307" s="19">
        <v>45993</v>
      </c>
      <c r="B307" s="15">
        <v>3.51</v>
      </c>
      <c r="C307" s="15">
        <v>4.0869999999999997</v>
      </c>
      <c r="D307" s="16">
        <v>-2.1000000000000352</v>
      </c>
      <c r="E307" s="16">
        <v>0</v>
      </c>
      <c r="F307" s="16">
        <f t="shared" si="28"/>
        <v>0</v>
      </c>
      <c r="G307" s="16">
        <f t="shared" si="29"/>
        <v>0</v>
      </c>
      <c r="H307" s="16">
        <f t="shared" si="30"/>
        <v>0</v>
      </c>
      <c r="I307" s="22">
        <f t="shared" si="31"/>
        <v>-394.47897804000661</v>
      </c>
      <c r="J307" s="22">
        <f t="shared" si="32"/>
        <v>0</v>
      </c>
      <c r="K307" s="22">
        <f t="shared" si="33"/>
        <v>-5917.1846706000988</v>
      </c>
      <c r="M307" s="22">
        <f t="shared" si="34"/>
        <v>6.1499999999999666</v>
      </c>
      <c r="N307" s="22" cm="1">
        <f t="array" ref="N307">_xlfn.PERCENTILE.INC(($N$16/1000000)*$I$3:$I$523+M307*$J$3:$J$523,0.99)</f>
        <v>88731.121512317521</v>
      </c>
    </row>
    <row r="308" spans="1:14" x14ac:dyDescent="0.2">
      <c r="A308" s="19">
        <v>45994</v>
      </c>
      <c r="B308" s="15">
        <v>3.4860000000000002</v>
      </c>
      <c r="C308" s="15">
        <v>4.0640000000000001</v>
      </c>
      <c r="D308" s="16">
        <v>-2.3999999999999577</v>
      </c>
      <c r="E308" s="16">
        <v>-2.2999999999999687</v>
      </c>
      <c r="F308" s="16">
        <f t="shared" si="28"/>
        <v>0</v>
      </c>
      <c r="G308" s="16">
        <f t="shared" si="29"/>
        <v>0</v>
      </c>
      <c r="H308" s="16">
        <f t="shared" si="30"/>
        <v>0</v>
      </c>
      <c r="I308" s="22">
        <f t="shared" si="31"/>
        <v>-450.84927743999202</v>
      </c>
      <c r="J308" s="22">
        <f t="shared" si="32"/>
        <v>-1699.6871183899766</v>
      </c>
      <c r="K308" s="22">
        <f t="shared" si="33"/>
        <v>-13248.811516658894</v>
      </c>
      <c r="M308" s="22">
        <f t="shared" si="34"/>
        <v>6.1999999999999664</v>
      </c>
      <c r="N308" s="22" cm="1">
        <f t="array" ref="N308">_xlfn.PERCENTILE.INC(($N$16/1000000)*$I$3:$I$523+M308*$J$3:$J$523,0.99)</f>
        <v>89200.003630739608</v>
      </c>
    </row>
    <row r="309" spans="1:14" x14ac:dyDescent="0.2">
      <c r="A309" s="19">
        <v>45995</v>
      </c>
      <c r="B309" s="15">
        <v>3.524</v>
      </c>
      <c r="C309" s="15">
        <v>4.0990000000000002</v>
      </c>
      <c r="D309" s="16">
        <v>3.7999999999999812</v>
      </c>
      <c r="E309" s="16">
        <v>3.5000000000000142</v>
      </c>
      <c r="F309" s="16">
        <f t="shared" si="28"/>
        <v>0</v>
      </c>
      <c r="G309" s="16">
        <f t="shared" si="29"/>
        <v>0</v>
      </c>
      <c r="H309" s="16">
        <f t="shared" si="30"/>
        <v>0</v>
      </c>
      <c r="I309" s="22">
        <f t="shared" si="31"/>
        <v>713.31590863999645</v>
      </c>
      <c r="J309" s="22">
        <f t="shared" si="32"/>
        <v>2579.4689602500102</v>
      </c>
      <c r="K309" s="22">
        <f t="shared" si="33"/>
        <v>20543.092816844972</v>
      </c>
      <c r="M309" s="22">
        <f t="shared" si="34"/>
        <v>6.2499999999999662</v>
      </c>
      <c r="N309" s="22" cm="1">
        <f t="array" ref="N309">_xlfn.PERCENTILE.INC(($N$16/1000000)*$I$3:$I$523+M309*$J$3:$J$523,0.99)</f>
        <v>89668.885749161709</v>
      </c>
    </row>
    <row r="310" spans="1:14" x14ac:dyDescent="0.2">
      <c r="A310" s="19">
        <v>45996</v>
      </c>
      <c r="B310" s="15">
        <v>3.5609999999999999</v>
      </c>
      <c r="C310" s="15">
        <v>4.1360000000000001</v>
      </c>
      <c r="D310" s="16">
        <v>3.6999999999999922</v>
      </c>
      <c r="E310" s="16">
        <v>3.6999999999999922</v>
      </c>
      <c r="F310" s="16">
        <f t="shared" si="28"/>
        <v>0</v>
      </c>
      <c r="G310" s="16">
        <f t="shared" si="29"/>
        <v>0</v>
      </c>
      <c r="H310" s="16">
        <f t="shared" si="30"/>
        <v>0</v>
      </c>
      <c r="I310" s="22">
        <f t="shared" si="31"/>
        <v>694.55274163999854</v>
      </c>
      <c r="J310" s="22">
        <f t="shared" si="32"/>
        <v>2726.6115972099942</v>
      </c>
      <c r="K310" s="22">
        <f t="shared" si="33"/>
        <v>20823.147355080273</v>
      </c>
      <c r="M310" s="22">
        <f t="shared" si="34"/>
        <v>6.2999999999999661</v>
      </c>
      <c r="N310" s="22" cm="1">
        <f t="array" ref="N310">_xlfn.PERCENTILE.INC(($N$16/1000000)*$I$3:$I$523+M310*$J$3:$J$523,0.99)</f>
        <v>90137.767867583811</v>
      </c>
    </row>
    <row r="311" spans="1:14" x14ac:dyDescent="0.2">
      <c r="A311" s="19">
        <v>45999</v>
      </c>
      <c r="B311" s="15">
        <v>3.5760000000000001</v>
      </c>
      <c r="C311" s="15">
        <v>4.165</v>
      </c>
      <c r="D311" s="16">
        <v>1.5000000000000124</v>
      </c>
      <c r="E311" s="16">
        <v>2.8999999999999915</v>
      </c>
      <c r="F311" s="16">
        <f t="shared" si="28"/>
        <v>0</v>
      </c>
      <c r="G311" s="16">
        <f t="shared" si="29"/>
        <v>0</v>
      </c>
      <c r="H311" s="16">
        <f t="shared" si="30"/>
        <v>0</v>
      </c>
      <c r="I311" s="22">
        <f t="shared" si="31"/>
        <v>281.64950100000232</v>
      </c>
      <c r="J311" s="22">
        <f t="shared" si="32"/>
        <v>2137.8752616899937</v>
      </c>
      <c r="K311" s="22">
        <f t="shared" si="33"/>
        <v>12382.95792028412</v>
      </c>
      <c r="M311" s="22">
        <f t="shared" si="34"/>
        <v>6.3499999999999659</v>
      </c>
      <c r="N311" s="22" cm="1">
        <f t="array" ref="N311">_xlfn.PERCENTILE.INC(($N$16/1000000)*$I$3:$I$523+M311*$J$3:$J$523,0.99)</f>
        <v>90606.649986005898</v>
      </c>
    </row>
    <row r="312" spans="1:14" x14ac:dyDescent="0.2">
      <c r="A312" s="19">
        <v>46000</v>
      </c>
      <c r="B312" s="15">
        <v>3.617</v>
      </c>
      <c r="C312" s="15">
        <v>4.1890000000000001</v>
      </c>
      <c r="D312" s="16">
        <v>4.0999999999999925</v>
      </c>
      <c r="E312" s="16">
        <v>2.4000000000000021</v>
      </c>
      <c r="F312" s="16">
        <f t="shared" si="28"/>
        <v>0</v>
      </c>
      <c r="G312" s="16">
        <f t="shared" si="29"/>
        <v>0</v>
      </c>
      <c r="H312" s="16">
        <f t="shared" si="30"/>
        <v>0</v>
      </c>
      <c r="I312" s="22">
        <f t="shared" si="31"/>
        <v>769.60271635999857</v>
      </c>
      <c r="J312" s="22">
        <f t="shared" si="32"/>
        <v>1769.6905478400013</v>
      </c>
      <c r="K312" s="22">
        <f t="shared" si="33"/>
        <v>18297.248918341298</v>
      </c>
      <c r="M312" s="22">
        <f t="shared" si="34"/>
        <v>6.3999999999999657</v>
      </c>
      <c r="N312" s="22" cm="1">
        <f t="array" ref="N312">_xlfn.PERCENTILE.INC(($N$16/1000000)*$I$3:$I$523+M312*$J$3:$J$523,0.99)</f>
        <v>91075.532104427999</v>
      </c>
    </row>
    <row r="313" spans="1:14" x14ac:dyDescent="0.2">
      <c r="A313" s="19">
        <v>46001</v>
      </c>
      <c r="B313" s="15">
        <v>3.5390000000000001</v>
      </c>
      <c r="C313" s="15">
        <v>4.149</v>
      </c>
      <c r="D313" s="16">
        <v>-7.7999999999999847</v>
      </c>
      <c r="E313" s="16">
        <v>-4.0000000000000036</v>
      </c>
      <c r="F313" s="16">
        <f t="shared" si="28"/>
        <v>1</v>
      </c>
      <c r="G313" s="16">
        <f t="shared" si="29"/>
        <v>0</v>
      </c>
      <c r="H313" s="16">
        <f t="shared" si="30"/>
        <v>0</v>
      </c>
      <c r="I313" s="22">
        <f t="shared" si="31"/>
        <v>-1466.2054929599969</v>
      </c>
      <c r="J313" s="22">
        <f t="shared" si="32"/>
        <v>-2958.3262560000021</v>
      </c>
      <c r="K313" s="22">
        <f t="shared" si="33"/>
        <v>-33282.170802896304</v>
      </c>
      <c r="M313" s="22">
        <f t="shared" si="34"/>
        <v>6.4499999999999655</v>
      </c>
      <c r="N313" s="22" cm="1">
        <f t="array" ref="N313">_xlfn.PERCENTILE.INC(($N$16/1000000)*$I$3:$I$523+M313*$J$3:$J$523,0.99)</f>
        <v>91544.414222850086</v>
      </c>
    </row>
    <row r="314" spans="1:14" x14ac:dyDescent="0.2">
      <c r="A314" s="19">
        <v>46002</v>
      </c>
      <c r="B314" s="15">
        <v>3.5409999999999999</v>
      </c>
      <c r="C314" s="15">
        <v>4.1580000000000004</v>
      </c>
      <c r="D314" s="16">
        <v>0.19999999999997797</v>
      </c>
      <c r="E314" s="16">
        <v>0.90000000000003411</v>
      </c>
      <c r="F314" s="16">
        <f t="shared" si="28"/>
        <v>0</v>
      </c>
      <c r="G314" s="16">
        <f t="shared" si="29"/>
        <v>0</v>
      </c>
      <c r="H314" s="16">
        <f t="shared" si="30"/>
        <v>0</v>
      </c>
      <c r="I314" s="22">
        <f t="shared" si="31"/>
        <v>37.559102239995866</v>
      </c>
      <c r="J314" s="22">
        <f t="shared" si="32"/>
        <v>664.10023329002502</v>
      </c>
      <c r="K314" s="22">
        <f t="shared" si="33"/>
        <v>3097.618932919906</v>
      </c>
      <c r="M314" s="22">
        <f t="shared" si="34"/>
        <v>6.4999999999999654</v>
      </c>
      <c r="N314" s="22" cm="1">
        <f t="array" ref="N314">_xlfn.PERCENTILE.INC(($N$16/1000000)*$I$3:$I$523+M314*$J$3:$J$523,0.99)</f>
        <v>92013.296341272187</v>
      </c>
    </row>
    <row r="315" spans="1:14" x14ac:dyDescent="0.2">
      <c r="A315" s="19">
        <v>46003</v>
      </c>
      <c r="B315" s="15">
        <v>3.5230000000000001</v>
      </c>
      <c r="C315" s="15">
        <v>4.1849999999999996</v>
      </c>
      <c r="D315" s="16">
        <v>-1.7999999999999794</v>
      </c>
      <c r="E315" s="16">
        <v>2.6999999999999247</v>
      </c>
      <c r="F315" s="16">
        <f t="shared" si="28"/>
        <v>0</v>
      </c>
      <c r="G315" s="16">
        <f t="shared" si="29"/>
        <v>0</v>
      </c>
      <c r="H315" s="16">
        <f t="shared" si="30"/>
        <v>0</v>
      </c>
      <c r="I315" s="22">
        <f t="shared" si="31"/>
        <v>-338.11271855999615</v>
      </c>
      <c r="J315" s="22">
        <f t="shared" si="32"/>
        <v>1990.6220996099441</v>
      </c>
      <c r="K315" s="22">
        <f t="shared" si="33"/>
        <v>2524.6008154786978</v>
      </c>
      <c r="M315" s="22">
        <f t="shared" si="34"/>
        <v>6.5499999999999652</v>
      </c>
      <c r="N315" s="22" cm="1">
        <f t="array" ref="N315">_xlfn.PERCENTILE.INC(($N$16/1000000)*$I$3:$I$523+M315*$J$3:$J$523,0.99)</f>
        <v>92482.178459694274</v>
      </c>
    </row>
    <row r="316" spans="1:14" x14ac:dyDescent="0.2">
      <c r="A316" s="19">
        <v>46006</v>
      </c>
      <c r="B316" s="15">
        <v>3.5030000000000001</v>
      </c>
      <c r="C316" s="15">
        <v>4.1740000000000004</v>
      </c>
      <c r="D316" s="16">
        <v>-2.0000000000000018</v>
      </c>
      <c r="E316" s="16">
        <v>-1.0999999999999233</v>
      </c>
      <c r="F316" s="16">
        <f t="shared" si="28"/>
        <v>0</v>
      </c>
      <c r="G316" s="16">
        <f t="shared" si="29"/>
        <v>0</v>
      </c>
      <c r="H316" s="16">
        <f t="shared" si="30"/>
        <v>0</v>
      </c>
      <c r="I316" s="22">
        <f t="shared" si="31"/>
        <v>-375.68977600000034</v>
      </c>
      <c r="J316" s="22">
        <f t="shared" si="32"/>
        <v>-812.4379231099432</v>
      </c>
      <c r="K316" s="22">
        <f t="shared" si="33"/>
        <v>-8735.6414508923244</v>
      </c>
      <c r="M316" s="22">
        <f t="shared" si="34"/>
        <v>6.599999999999965</v>
      </c>
      <c r="N316" s="22" cm="1">
        <f t="array" ref="N316">_xlfn.PERCENTILE.INC(($N$16/1000000)*$I$3:$I$523+M316*$J$3:$J$523,0.99)</f>
        <v>92951.060578116361</v>
      </c>
    </row>
    <row r="317" spans="1:14" x14ac:dyDescent="0.2">
      <c r="A317" s="19">
        <v>46007</v>
      </c>
      <c r="B317" s="15">
        <v>3.488</v>
      </c>
      <c r="C317" s="15">
        <v>4.1459999999999999</v>
      </c>
      <c r="D317" s="16">
        <v>-1.5000000000000124</v>
      </c>
      <c r="E317" s="16">
        <v>-2.8000000000000469</v>
      </c>
      <c r="F317" s="16">
        <f t="shared" si="28"/>
        <v>0</v>
      </c>
      <c r="G317" s="16">
        <f t="shared" si="29"/>
        <v>0</v>
      </c>
      <c r="H317" s="16">
        <f t="shared" si="30"/>
        <v>0</v>
      </c>
      <c r="I317" s="22">
        <f t="shared" si="31"/>
        <v>-281.75049900000232</v>
      </c>
      <c r="J317" s="22">
        <f t="shared" si="32"/>
        <v>-2069.6678654400343</v>
      </c>
      <c r="K317" s="22">
        <f t="shared" si="33"/>
        <v>-12124.190805163373</v>
      </c>
      <c r="M317" s="22">
        <f t="shared" si="34"/>
        <v>6.6499999999999648</v>
      </c>
      <c r="N317" s="22" cm="1">
        <f t="array" ref="N317">_xlfn.PERCENTILE.INC(($N$16/1000000)*$I$3:$I$523+M317*$J$3:$J$523,0.99)</f>
        <v>93419.942696538463</v>
      </c>
    </row>
    <row r="318" spans="1:14" x14ac:dyDescent="0.2">
      <c r="A318" s="19">
        <v>46008</v>
      </c>
      <c r="B318" s="15">
        <v>3.484</v>
      </c>
      <c r="C318" s="15">
        <v>4.1539999999999999</v>
      </c>
      <c r="D318" s="16">
        <v>-0.40000000000000036</v>
      </c>
      <c r="E318" s="16">
        <v>0.80000000000000071</v>
      </c>
      <c r="F318" s="16">
        <f t="shared" si="28"/>
        <v>0</v>
      </c>
      <c r="G318" s="16">
        <f t="shared" si="29"/>
        <v>0</v>
      </c>
      <c r="H318" s="16">
        <f t="shared" si="30"/>
        <v>0</v>
      </c>
      <c r="I318" s="22">
        <f t="shared" si="31"/>
        <v>-75.123591040000065</v>
      </c>
      <c r="J318" s="22">
        <f t="shared" si="32"/>
        <v>590.33894976000056</v>
      </c>
      <c r="K318" s="22">
        <f t="shared" si="33"/>
        <v>1125.9025980601473</v>
      </c>
      <c r="M318" s="22">
        <f t="shared" si="34"/>
        <v>6.6999999999999647</v>
      </c>
      <c r="N318" s="22" cm="1">
        <f t="array" ref="N318">_xlfn.PERCENTILE.INC(($N$16/1000000)*$I$3:$I$523+M318*$J$3:$J$523,0.99)</f>
        <v>93888.82481496055</v>
      </c>
    </row>
    <row r="319" spans="1:14" x14ac:dyDescent="0.2">
      <c r="A319" s="19">
        <v>46009</v>
      </c>
      <c r="B319" s="15">
        <v>3.4609999999999999</v>
      </c>
      <c r="C319" s="15">
        <v>4.1230000000000002</v>
      </c>
      <c r="D319" s="16">
        <v>-2.3000000000000131</v>
      </c>
      <c r="E319" s="16">
        <v>-3.0999999999999694</v>
      </c>
      <c r="F319" s="16">
        <f t="shared" si="28"/>
        <v>0</v>
      </c>
      <c r="G319" s="16">
        <f t="shared" si="29"/>
        <v>0</v>
      </c>
      <c r="H319" s="16">
        <f t="shared" si="30"/>
        <v>0</v>
      </c>
      <c r="I319" s="22">
        <f t="shared" si="31"/>
        <v>-432.05872876000245</v>
      </c>
      <c r="J319" s="22">
        <f t="shared" si="32"/>
        <v>-2291.7392075099769</v>
      </c>
      <c r="K319" s="22">
        <f t="shared" si="33"/>
        <v>-15226.247156753063</v>
      </c>
      <c r="M319" s="22">
        <f t="shared" si="34"/>
        <v>6.7499999999999645</v>
      </c>
      <c r="N319" s="22" cm="1">
        <f t="array" ref="N319">_xlfn.PERCENTILE.INC(($N$16/1000000)*$I$3:$I$523+M319*$J$3:$J$523,0.99)</f>
        <v>94357.706933382637</v>
      </c>
    </row>
    <row r="320" spans="1:14" x14ac:dyDescent="0.2">
      <c r="A320" s="19">
        <v>46010</v>
      </c>
      <c r="B320" s="15">
        <v>3.484</v>
      </c>
      <c r="C320" s="15">
        <v>4.1479999999999997</v>
      </c>
      <c r="D320" s="16">
        <v>2.3000000000000131</v>
      </c>
      <c r="E320" s="16">
        <v>2.4999999999999467</v>
      </c>
      <c r="F320" s="16">
        <f t="shared" si="28"/>
        <v>0</v>
      </c>
      <c r="G320" s="16">
        <f t="shared" si="29"/>
        <v>0</v>
      </c>
      <c r="H320" s="16">
        <f t="shared" si="30"/>
        <v>0</v>
      </c>
      <c r="I320" s="22">
        <f t="shared" si="31"/>
        <v>431.82127124000249</v>
      </c>
      <c r="J320" s="22">
        <f t="shared" si="32"/>
        <v>1843.341306249961</v>
      </c>
      <c r="K320" s="22">
        <f t="shared" si="33"/>
        <v>13511.581409031005</v>
      </c>
      <c r="M320" s="22">
        <f t="shared" si="34"/>
        <v>6.7999999999999643</v>
      </c>
      <c r="N320" s="22" cm="1">
        <f t="array" ref="N320">_xlfn.PERCENTILE.INC(($N$16/1000000)*$I$3:$I$523+M320*$J$3:$J$523,0.99)</f>
        <v>94826.589051804753</v>
      </c>
    </row>
    <row r="321" spans="1:14" x14ac:dyDescent="0.2">
      <c r="A321" s="19">
        <v>46013</v>
      </c>
      <c r="B321" s="15">
        <v>3.508</v>
      </c>
      <c r="C321" s="15">
        <v>4.165</v>
      </c>
      <c r="D321" s="16">
        <v>2.4000000000000021</v>
      </c>
      <c r="E321" s="16">
        <v>1.7000000000000348</v>
      </c>
      <c r="F321" s="16">
        <f t="shared" si="28"/>
        <v>0</v>
      </c>
      <c r="G321" s="16">
        <f t="shared" si="29"/>
        <v>0</v>
      </c>
      <c r="H321" s="16">
        <f t="shared" si="30"/>
        <v>0</v>
      </c>
      <c r="I321" s="22">
        <f t="shared" si="31"/>
        <v>450.5907225600003</v>
      </c>
      <c r="J321" s="22">
        <f t="shared" si="32"/>
        <v>1253.9418200100256</v>
      </c>
      <c r="K321" s="22">
        <f t="shared" si="33"/>
        <v>11543.95174461545</v>
      </c>
      <c r="M321" s="22">
        <f t="shared" si="34"/>
        <v>6.8499999999999641</v>
      </c>
      <c r="N321" s="22" cm="1">
        <f t="array" ref="N321">_xlfn.PERCENTILE.INC(($N$16/1000000)*$I$3:$I$523+M321*$J$3:$J$523,0.99)</f>
        <v>95295.47117022684</v>
      </c>
    </row>
    <row r="322" spans="1:14" x14ac:dyDescent="0.2">
      <c r="A322" s="19">
        <v>46014</v>
      </c>
      <c r="B322" s="15">
        <v>3.5329999999999999</v>
      </c>
      <c r="C322" s="15">
        <v>4.165</v>
      </c>
      <c r="D322" s="16">
        <v>2.4999999999999911</v>
      </c>
      <c r="E322" s="16">
        <v>0</v>
      </c>
      <c r="F322" s="16">
        <f t="shared" si="28"/>
        <v>0</v>
      </c>
      <c r="G322" s="16">
        <f t="shared" si="29"/>
        <v>0</v>
      </c>
      <c r="H322" s="16">
        <f t="shared" si="30"/>
        <v>0</v>
      </c>
      <c r="I322" s="22">
        <f t="shared" si="31"/>
        <v>469.35972499999832</v>
      </c>
      <c r="J322" s="22">
        <f t="shared" si="32"/>
        <v>0</v>
      </c>
      <c r="K322" s="22">
        <f t="shared" si="33"/>
        <v>7040.3958749999747</v>
      </c>
      <c r="M322" s="22">
        <f t="shared" si="34"/>
        <v>6.8999999999999639</v>
      </c>
      <c r="N322" s="22" cm="1">
        <f t="array" ref="N322">_xlfn.PERCENTILE.INC(($N$16/1000000)*$I$3:$I$523+M322*$J$3:$J$523,0.99)</f>
        <v>95764.353288648927</v>
      </c>
    </row>
    <row r="323" spans="1:14" x14ac:dyDescent="0.2">
      <c r="A323" s="19">
        <v>46015</v>
      </c>
      <c r="B323" s="15">
        <v>3.5059999999999998</v>
      </c>
      <c r="C323" s="15">
        <v>4.1360000000000001</v>
      </c>
      <c r="D323" s="16">
        <v>-2.7000000000000135</v>
      </c>
      <c r="E323" s="16">
        <v>-2.8999999999999915</v>
      </c>
      <c r="F323" s="16">
        <f t="shared" si="28"/>
        <v>0</v>
      </c>
      <c r="G323" s="16">
        <f t="shared" si="29"/>
        <v>0</v>
      </c>
      <c r="H323" s="16">
        <f t="shared" si="30"/>
        <v>0</v>
      </c>
      <c r="I323" s="22">
        <f t="shared" si="31"/>
        <v>-507.22361676000241</v>
      </c>
      <c r="J323" s="22">
        <f t="shared" si="32"/>
        <v>-2143.6847383099939</v>
      </c>
      <c r="K323" s="22">
        <f t="shared" si="33"/>
        <v>-15788.738846115903</v>
      </c>
      <c r="M323" s="22">
        <f t="shared" si="34"/>
        <v>6.9499999999999638</v>
      </c>
      <c r="N323" s="22" cm="1">
        <f t="array" ref="N323">_xlfn.PERCENTILE.INC(($N$16/1000000)*$I$3:$I$523+M323*$J$3:$J$523,0.99)</f>
        <v>96233.235407071028</v>
      </c>
    </row>
    <row r="324" spans="1:14" x14ac:dyDescent="0.2">
      <c r="A324" s="19">
        <v>46016</v>
      </c>
      <c r="B324" s="15">
        <v>3.5059999999999998</v>
      </c>
      <c r="C324" s="15">
        <v>4.1360000000000001</v>
      </c>
      <c r="D324" s="16">
        <v>0</v>
      </c>
      <c r="E324" s="16">
        <v>0</v>
      </c>
      <c r="F324" s="16">
        <f t="shared" ref="F324:F387" si="35">IF(ABS(D324-$N$2)&gt;$N$3,1,0)</f>
        <v>0</v>
      </c>
      <c r="G324" s="16">
        <f t="shared" ref="G324:G387" si="36">IF(ABS(E324-$O$2)&gt;$O$3,1,0)</f>
        <v>0</v>
      </c>
      <c r="H324" s="16">
        <f t="shared" ref="H324:H387" si="37">IF(AND(F324=1,G324=1),1,0)</f>
        <v>0</v>
      </c>
      <c r="I324" s="22">
        <f t="shared" ref="I324:I387" si="38">(1000000/100)*($N$11*D324/100-0.5*$N$19*(D324/100)^2)</f>
        <v>0</v>
      </c>
      <c r="J324" s="22">
        <f t="shared" ref="J324:J387" si="39">(1000000/100)*($O$11*E324/100-0.5*$O$19*(E324/100)^2)</f>
        <v>0</v>
      </c>
      <c r="K324" s="22">
        <f t="shared" ref="K324:K387" si="40">($N$16/1000000)*I324+($O$16/1000000)*J324</f>
        <v>0</v>
      </c>
      <c r="M324" s="22">
        <f t="shared" si="34"/>
        <v>6.9999999999999636</v>
      </c>
      <c r="N324" s="22" cm="1">
        <f t="array" ref="N324">_xlfn.PERCENTILE.INC(($N$16/1000000)*$I$3:$I$523+M324*$J$3:$J$523,0.99)</f>
        <v>96702.117525493115</v>
      </c>
    </row>
    <row r="325" spans="1:14" x14ac:dyDescent="0.2">
      <c r="A325" s="19">
        <v>46017</v>
      </c>
      <c r="B325" s="15">
        <v>3.48</v>
      </c>
      <c r="C325" s="15">
        <v>4.1289999999999996</v>
      </c>
      <c r="D325" s="16">
        <v>-2.5999999999999801</v>
      </c>
      <c r="E325" s="16">
        <v>-0.70000000000005613</v>
      </c>
      <c r="F325" s="16">
        <f t="shared" si="35"/>
        <v>0</v>
      </c>
      <c r="G325" s="16">
        <f t="shared" si="36"/>
        <v>0</v>
      </c>
      <c r="H325" s="16">
        <f t="shared" si="37"/>
        <v>0</v>
      </c>
      <c r="I325" s="22">
        <f t="shared" si="38"/>
        <v>-488.43172143999624</v>
      </c>
      <c r="J325" s="22">
        <f t="shared" si="39"/>
        <v>-516.90924159004146</v>
      </c>
      <c r="K325" s="22">
        <f t="shared" si="40"/>
        <v>-9299.0216541103018</v>
      </c>
      <c r="M325" s="22">
        <f t="shared" si="34"/>
        <v>7.0499999999999634</v>
      </c>
      <c r="N325" s="22" cm="1">
        <f t="array" ref="N325">_xlfn.PERCENTILE.INC(($N$16/1000000)*$I$3:$I$523+M325*$J$3:$J$523,0.99)</f>
        <v>97170.999643915202</v>
      </c>
    </row>
    <row r="326" spans="1:14" x14ac:dyDescent="0.2">
      <c r="A326" s="19">
        <v>46020</v>
      </c>
      <c r="B326" s="15">
        <v>3.456</v>
      </c>
      <c r="C326" s="15">
        <v>4.1109999999999998</v>
      </c>
      <c r="D326" s="16">
        <v>-2.4000000000000021</v>
      </c>
      <c r="E326" s="16">
        <v>-1.7999999999999794</v>
      </c>
      <c r="F326" s="16">
        <f t="shared" si="35"/>
        <v>0</v>
      </c>
      <c r="G326" s="16">
        <f t="shared" si="36"/>
        <v>0</v>
      </c>
      <c r="H326" s="16">
        <f t="shared" si="37"/>
        <v>0</v>
      </c>
      <c r="I326" s="22">
        <f t="shared" si="38"/>
        <v>-450.84927744000038</v>
      </c>
      <c r="J326" s="22">
        <f t="shared" si="39"/>
        <v>-1329.8790668399845</v>
      </c>
      <c r="K326" s="22">
        <f t="shared" si="40"/>
        <v>-11837.609564320455</v>
      </c>
      <c r="M326" s="22">
        <f t="shared" si="34"/>
        <v>7.0999999999999632</v>
      </c>
      <c r="N326" s="22" cm="1">
        <f t="array" ref="N326">_xlfn.PERCENTILE.INC(($N$16/1000000)*$I$3:$I$523+M326*$J$3:$J$523,0.99)</f>
        <v>97639.881762337303</v>
      </c>
    </row>
    <row r="327" spans="1:14" x14ac:dyDescent="0.2">
      <c r="A327" s="19">
        <v>46021</v>
      </c>
      <c r="B327" s="15">
        <v>3.4489999999999998</v>
      </c>
      <c r="C327" s="15">
        <v>4.1230000000000002</v>
      </c>
      <c r="D327" s="16">
        <v>-0.70000000000001172</v>
      </c>
      <c r="E327" s="16">
        <v>1.2000000000000455</v>
      </c>
      <c r="F327" s="16">
        <f t="shared" si="35"/>
        <v>0</v>
      </c>
      <c r="G327" s="16">
        <f t="shared" si="36"/>
        <v>0</v>
      </c>
      <c r="H327" s="16">
        <f t="shared" si="37"/>
        <v>0</v>
      </c>
      <c r="I327" s="22">
        <f t="shared" si="38"/>
        <v>-131.47099756000219</v>
      </c>
      <c r="J327" s="22">
        <f t="shared" si="39"/>
        <v>885.34263696003359</v>
      </c>
      <c r="K327" s="22">
        <f t="shared" si="40"/>
        <v>1406.4370798354244</v>
      </c>
      <c r="M327" s="22">
        <f t="shared" si="34"/>
        <v>7.1499999999999631</v>
      </c>
      <c r="N327" s="22" cm="1">
        <f t="array" ref="N327">_xlfn.PERCENTILE.INC(($N$16/1000000)*$I$3:$I$523+M327*$J$3:$J$523,0.99)</f>
        <v>98108.76388075939</v>
      </c>
    </row>
    <row r="328" spans="1:14" x14ac:dyDescent="0.2">
      <c r="A328" s="19">
        <v>46022</v>
      </c>
      <c r="B328" s="15">
        <v>3.4750000000000001</v>
      </c>
      <c r="C328" s="15">
        <v>4.1689999999999996</v>
      </c>
      <c r="D328" s="16">
        <v>2.6000000000000245</v>
      </c>
      <c r="E328" s="16">
        <v>4.5999999999999375</v>
      </c>
      <c r="F328" s="16">
        <f t="shared" si="35"/>
        <v>0</v>
      </c>
      <c r="G328" s="16">
        <f t="shared" si="36"/>
        <v>0</v>
      </c>
      <c r="H328" s="16">
        <f t="shared" si="37"/>
        <v>0</v>
      </c>
      <c r="I328" s="22">
        <f t="shared" si="38"/>
        <v>488.12827856000456</v>
      </c>
      <c r="J328" s="22">
        <f t="shared" si="39"/>
        <v>3388.4115264399538</v>
      </c>
      <c r="K328" s="22">
        <f t="shared" si="40"/>
        <v>20252.234758163479</v>
      </c>
      <c r="M328" s="22">
        <f t="shared" si="34"/>
        <v>7.1999999999999629</v>
      </c>
      <c r="N328" s="22" cm="1">
        <f t="array" ref="N328">_xlfn.PERCENTILE.INC(($N$16/1000000)*$I$3:$I$523+M328*$J$3:$J$523,0.99)</f>
        <v>98577.645999181492</v>
      </c>
    </row>
    <row r="329" spans="1:14" x14ac:dyDescent="0.2">
      <c r="A329" s="19">
        <v>46023</v>
      </c>
      <c r="B329" s="15">
        <v>3.4750000000000001</v>
      </c>
      <c r="C329" s="15">
        <v>4.1689999999999996</v>
      </c>
      <c r="D329" s="16">
        <v>0</v>
      </c>
      <c r="E329" s="16">
        <v>0</v>
      </c>
      <c r="F329" s="16">
        <f t="shared" si="35"/>
        <v>0</v>
      </c>
      <c r="G329" s="16">
        <f t="shared" si="36"/>
        <v>0</v>
      </c>
      <c r="H329" s="16">
        <f t="shared" si="37"/>
        <v>0</v>
      </c>
      <c r="I329" s="22">
        <f t="shared" si="38"/>
        <v>0</v>
      </c>
      <c r="J329" s="22">
        <f t="shared" si="39"/>
        <v>0</v>
      </c>
      <c r="K329" s="22">
        <f t="shared" si="40"/>
        <v>0</v>
      </c>
      <c r="M329" s="22">
        <f t="shared" si="34"/>
        <v>7.2499999999999627</v>
      </c>
      <c r="N329" s="22" cm="1">
        <f t="array" ref="N329">_xlfn.PERCENTILE.INC(($N$16/1000000)*$I$3:$I$523+M329*$J$3:$J$523,0.99)</f>
        <v>99046.528117603593</v>
      </c>
    </row>
    <row r="330" spans="1:14" x14ac:dyDescent="0.2">
      <c r="A330" s="19">
        <v>46024</v>
      </c>
      <c r="B330" s="15">
        <v>3.4740000000000002</v>
      </c>
      <c r="C330" s="15">
        <v>4.1920000000000002</v>
      </c>
      <c r="D330" s="16">
        <v>-9.9999999999988987E-2</v>
      </c>
      <c r="E330" s="16">
        <v>2.3000000000000576</v>
      </c>
      <c r="F330" s="16">
        <f t="shared" si="35"/>
        <v>0</v>
      </c>
      <c r="G330" s="16">
        <f t="shared" si="36"/>
        <v>0</v>
      </c>
      <c r="H330" s="16">
        <f t="shared" si="37"/>
        <v>0</v>
      </c>
      <c r="I330" s="22">
        <f t="shared" si="38"/>
        <v>-18.780224439997934</v>
      </c>
      <c r="J330" s="22">
        <f t="shared" si="39"/>
        <v>1696.0328816100423</v>
      </c>
      <c r="K330" s="22">
        <f t="shared" si="40"/>
        <v>6190.4242783410891</v>
      </c>
      <c r="M330" s="22">
        <f t="shared" si="34"/>
        <v>7.2999999999999625</v>
      </c>
      <c r="N330" s="22" cm="1">
        <f t="array" ref="N330">_xlfn.PERCENTILE.INC(($N$16/1000000)*$I$3:$I$523+M330*$J$3:$J$523,0.99)</f>
        <v>99515.41023602568</v>
      </c>
    </row>
    <row r="331" spans="1:14" x14ac:dyDescent="0.2">
      <c r="A331" s="19">
        <v>46027</v>
      </c>
      <c r="B331" s="15">
        <v>3.452</v>
      </c>
      <c r="C331" s="15">
        <v>4.1619999999999999</v>
      </c>
      <c r="D331" s="16">
        <v>-2.2000000000000242</v>
      </c>
      <c r="E331" s="16">
        <v>-3.0000000000000249</v>
      </c>
      <c r="F331" s="16">
        <f t="shared" si="35"/>
        <v>0</v>
      </c>
      <c r="G331" s="16">
        <f t="shared" si="36"/>
        <v>0</v>
      </c>
      <c r="H331" s="16">
        <f t="shared" si="37"/>
        <v>0</v>
      </c>
      <c r="I331" s="22">
        <f t="shared" si="38"/>
        <v>-413.26862896000449</v>
      </c>
      <c r="J331" s="22">
        <f t="shared" si="39"/>
        <v>-2217.708519000018</v>
      </c>
      <c r="K331" s="22">
        <f t="shared" si="40"/>
        <v>-14661.891664179329</v>
      </c>
      <c r="M331" s="22">
        <f t="shared" si="34"/>
        <v>7.3499999999999623</v>
      </c>
      <c r="N331" s="22" cm="1">
        <f t="array" ref="N331">_xlfn.PERCENTILE.INC(($N$16/1000000)*$I$3:$I$523+M331*$J$3:$J$523,0.99)</f>
        <v>99984.292354447767</v>
      </c>
    </row>
    <row r="332" spans="1:14" x14ac:dyDescent="0.2">
      <c r="A332" s="19">
        <v>46028</v>
      </c>
      <c r="B332" s="15">
        <v>3.464</v>
      </c>
      <c r="C332" s="15">
        <v>4.1740000000000004</v>
      </c>
      <c r="D332" s="16">
        <v>1.2000000000000011</v>
      </c>
      <c r="E332" s="16">
        <v>1.2000000000000455</v>
      </c>
      <c r="F332" s="16">
        <f t="shared" si="35"/>
        <v>0</v>
      </c>
      <c r="G332" s="16">
        <f t="shared" si="36"/>
        <v>0</v>
      </c>
      <c r="H332" s="16">
        <f t="shared" si="37"/>
        <v>0</v>
      </c>
      <c r="I332" s="22">
        <f t="shared" si="38"/>
        <v>225.32768064000018</v>
      </c>
      <c r="J332" s="22">
        <f t="shared" si="39"/>
        <v>885.34263696003359</v>
      </c>
      <c r="K332" s="22">
        <f t="shared" si="40"/>
        <v>6758.4172528354593</v>
      </c>
      <c r="M332" s="22">
        <f t="shared" si="34"/>
        <v>7.3999999999999622</v>
      </c>
      <c r="N332" s="22" cm="1">
        <f t="array" ref="N332">_xlfn.PERCENTILE.INC(($N$16/1000000)*$I$3:$I$523+M332*$J$3:$J$523,0.99)</f>
        <v>100453.17447286987</v>
      </c>
    </row>
    <row r="333" spans="1:14" x14ac:dyDescent="0.2">
      <c r="A333" s="19">
        <v>46029</v>
      </c>
      <c r="B333" s="15">
        <v>3.472</v>
      </c>
      <c r="C333" s="15">
        <v>4.1500000000000004</v>
      </c>
      <c r="D333" s="16">
        <v>0.80000000000000071</v>
      </c>
      <c r="E333" s="16">
        <v>-2.4000000000000021</v>
      </c>
      <c r="F333" s="16">
        <f t="shared" si="35"/>
        <v>0</v>
      </c>
      <c r="G333" s="16">
        <f t="shared" si="36"/>
        <v>0</v>
      </c>
      <c r="H333" s="16">
        <f t="shared" si="37"/>
        <v>0</v>
      </c>
      <c r="I333" s="22">
        <f t="shared" si="38"/>
        <v>150.22563584000014</v>
      </c>
      <c r="J333" s="22">
        <f t="shared" si="39"/>
        <v>-1773.6694521600014</v>
      </c>
      <c r="K333" s="22">
        <f t="shared" si="40"/>
        <v>-4515.0072894586865</v>
      </c>
      <c r="M333" s="22">
        <f t="shared" si="34"/>
        <v>7.449999999999962</v>
      </c>
      <c r="N333" s="22" cm="1">
        <f t="array" ref="N333">_xlfn.PERCENTILE.INC(($N$16/1000000)*$I$3:$I$523+M333*$J$3:$J$523,0.99)</f>
        <v>100922.05659129196</v>
      </c>
    </row>
    <row r="334" spans="1:14" x14ac:dyDescent="0.2">
      <c r="A334" s="19">
        <v>46030</v>
      </c>
      <c r="B334" s="15">
        <v>3.4889999999999999</v>
      </c>
      <c r="C334" s="15">
        <v>4.1680000000000001</v>
      </c>
      <c r="D334" s="16">
        <v>1.6999999999999904</v>
      </c>
      <c r="E334" s="16">
        <v>1.7999999999999794</v>
      </c>
      <c r="F334" s="16">
        <f t="shared" si="35"/>
        <v>0</v>
      </c>
      <c r="G334" s="16">
        <f t="shared" si="36"/>
        <v>0</v>
      </c>
      <c r="H334" s="16">
        <f t="shared" si="37"/>
        <v>0</v>
      </c>
      <c r="I334" s="22">
        <f t="shared" si="38"/>
        <v>319.19513683999821</v>
      </c>
      <c r="J334" s="22">
        <f t="shared" si="39"/>
        <v>1327.6409331599848</v>
      </c>
      <c r="K334" s="22">
        <f t="shared" si="40"/>
        <v>9854.256649879404</v>
      </c>
      <c r="M334" s="22">
        <f t="shared" si="34"/>
        <v>7.4999999999999618</v>
      </c>
      <c r="N334" s="22" cm="1">
        <f t="array" ref="N334">_xlfn.PERCENTILE.INC(($N$16/1000000)*$I$3:$I$523+M334*$J$3:$J$523,0.99)</f>
        <v>101390.93870971406</v>
      </c>
    </row>
    <row r="335" spans="1:14" x14ac:dyDescent="0.2">
      <c r="A335" s="19">
        <v>46031</v>
      </c>
      <c r="B335" s="15">
        <v>3.5329999999999999</v>
      </c>
      <c r="C335" s="15">
        <v>4.1660000000000004</v>
      </c>
      <c r="D335" s="16">
        <v>4.4000000000000039</v>
      </c>
      <c r="E335" s="16">
        <v>-0.19999999999997797</v>
      </c>
      <c r="F335" s="16">
        <f t="shared" si="35"/>
        <v>0</v>
      </c>
      <c r="G335" s="16">
        <f t="shared" si="36"/>
        <v>0</v>
      </c>
      <c r="H335" s="16">
        <f t="shared" si="37"/>
        <v>0</v>
      </c>
      <c r="I335" s="22">
        <f t="shared" si="38"/>
        <v>825.8854841600006</v>
      </c>
      <c r="J335" s="22">
        <f t="shared" si="39"/>
        <v>-147.65381563998375</v>
      </c>
      <c r="K335" s="22">
        <f t="shared" si="40"/>
        <v>11824.829541378831</v>
      </c>
      <c r="M335" s="22">
        <f t="shared" si="34"/>
        <v>7.5499999999999616</v>
      </c>
      <c r="N335" s="22" cm="1">
        <f t="array" ref="N335">_xlfn.PERCENTILE.INC(($N$16/1000000)*$I$3:$I$523+M335*$J$3:$J$523,0.99)</f>
        <v>101859.82082813614</v>
      </c>
    </row>
    <row r="336" spans="1:14" x14ac:dyDescent="0.2">
      <c r="A336" s="19">
        <v>46034</v>
      </c>
      <c r="B336" s="15">
        <v>3.5350000000000001</v>
      </c>
      <c r="C336" s="15">
        <v>4.1769999999999996</v>
      </c>
      <c r="D336" s="16">
        <v>0.20000000000002238</v>
      </c>
      <c r="E336" s="16">
        <v>1.0999999999999233</v>
      </c>
      <c r="F336" s="16">
        <f t="shared" si="35"/>
        <v>0</v>
      </c>
      <c r="G336" s="16">
        <f t="shared" si="36"/>
        <v>0</v>
      </c>
      <c r="H336" s="16">
        <f t="shared" si="37"/>
        <v>0</v>
      </c>
      <c r="I336" s="22">
        <f t="shared" si="38"/>
        <v>37.559102240004201</v>
      </c>
      <c r="J336" s="22">
        <f t="shared" si="39"/>
        <v>811.60207688994342</v>
      </c>
      <c r="K336" s="22">
        <f t="shared" si="40"/>
        <v>3660.4917227073111</v>
      </c>
      <c r="M336" s="22">
        <f t="shared" si="34"/>
        <v>7.5999999999999615</v>
      </c>
      <c r="N336" s="22" cm="1">
        <f t="array" ref="N336">_xlfn.PERCENTILE.INC(($N$16/1000000)*$I$3:$I$523+M336*$J$3:$J$523,0.99)</f>
        <v>102328.70294655825</v>
      </c>
    </row>
    <row r="337" spans="1:14" x14ac:dyDescent="0.2">
      <c r="A337" s="19">
        <v>46035</v>
      </c>
      <c r="B337" s="15">
        <v>3.5350000000000001</v>
      </c>
      <c r="C337" s="15">
        <v>4.18</v>
      </c>
      <c r="D337" s="16">
        <v>0</v>
      </c>
      <c r="E337" s="16">
        <v>0.30000000000001137</v>
      </c>
      <c r="F337" s="16">
        <f t="shared" si="35"/>
        <v>0</v>
      </c>
      <c r="G337" s="16">
        <f t="shared" si="36"/>
        <v>0</v>
      </c>
      <c r="H337" s="16">
        <f t="shared" si="37"/>
        <v>0</v>
      </c>
      <c r="I337" s="22">
        <f t="shared" si="38"/>
        <v>0</v>
      </c>
      <c r="J337" s="22">
        <f t="shared" si="39"/>
        <v>221.42891481000837</v>
      </c>
      <c r="K337" s="22">
        <f t="shared" si="40"/>
        <v>844.98137770223991</v>
      </c>
      <c r="M337" s="22">
        <f t="shared" si="34"/>
        <v>7.6499999999999613</v>
      </c>
      <c r="N337" s="22" cm="1">
        <f t="array" ref="N337">_xlfn.PERCENTILE.INC(($N$16/1000000)*$I$3:$I$523+M337*$J$3:$J$523,0.99)</f>
        <v>102797.58506498033</v>
      </c>
    </row>
    <row r="338" spans="1:14" x14ac:dyDescent="0.2">
      <c r="A338" s="19">
        <v>46036</v>
      </c>
      <c r="B338" s="15">
        <v>3.512</v>
      </c>
      <c r="C338" s="15">
        <v>4.133</v>
      </c>
      <c r="D338" s="16">
        <v>-2.3000000000000131</v>
      </c>
      <c r="E338" s="16">
        <v>-4.6999999999999709</v>
      </c>
      <c r="F338" s="16">
        <f t="shared" si="35"/>
        <v>0</v>
      </c>
      <c r="G338" s="16">
        <f t="shared" si="36"/>
        <v>1</v>
      </c>
      <c r="H338" s="16">
        <f t="shared" si="37"/>
        <v>0</v>
      </c>
      <c r="I338" s="22">
        <f t="shared" si="38"/>
        <v>-432.05872876000245</v>
      </c>
      <c r="J338" s="22">
        <f t="shared" si="39"/>
        <v>-3477.169687189979</v>
      </c>
      <c r="K338" s="22">
        <f t="shared" si="40"/>
        <v>-19749.896115380219</v>
      </c>
      <c r="M338" s="22">
        <f t="shared" si="34"/>
        <v>7.6999999999999611</v>
      </c>
      <c r="N338" s="22" cm="1">
        <f t="array" ref="N338">_xlfn.PERCENTILE.INC(($N$16/1000000)*$I$3:$I$523+M338*$J$3:$J$523,0.99)</f>
        <v>103266.46718340242</v>
      </c>
    </row>
    <row r="339" spans="1:14" x14ac:dyDescent="0.2">
      <c r="A339" s="19">
        <v>46037</v>
      </c>
      <c r="B339" s="15">
        <v>3.5659999999999998</v>
      </c>
      <c r="C339" s="15">
        <v>4.1710000000000003</v>
      </c>
      <c r="D339" s="16">
        <v>5.3999999999999826</v>
      </c>
      <c r="E339" s="16">
        <v>3.8000000000000256</v>
      </c>
      <c r="F339" s="16">
        <f t="shared" si="35"/>
        <v>1</v>
      </c>
      <c r="G339" s="16">
        <f t="shared" si="36"/>
        <v>0</v>
      </c>
      <c r="H339" s="16">
        <f t="shared" si="37"/>
        <v>0</v>
      </c>
      <c r="I339" s="22">
        <f t="shared" si="38"/>
        <v>1013.4655329599967</v>
      </c>
      <c r="J339" s="22">
        <f t="shared" si="39"/>
        <v>2800.1725539600188</v>
      </c>
      <c r="K339" s="22">
        <f t="shared" si="40"/>
        <v>25887.550705732072</v>
      </c>
      <c r="M339" s="22">
        <f t="shared" si="34"/>
        <v>7.7499999999999609</v>
      </c>
      <c r="N339" s="22" cm="1">
        <f t="array" ref="N339">_xlfn.PERCENTILE.INC(($N$16/1000000)*$I$3:$I$523+M339*$J$3:$J$523,0.99)</f>
        <v>103735.34930182452</v>
      </c>
    </row>
    <row r="340" spans="1:14" x14ac:dyDescent="0.2">
      <c r="A340" s="19">
        <v>46038</v>
      </c>
      <c r="B340" s="15">
        <v>3.5880000000000001</v>
      </c>
      <c r="C340" s="15">
        <v>4.2240000000000002</v>
      </c>
      <c r="D340" s="16">
        <v>2.2000000000000242</v>
      </c>
      <c r="E340" s="16">
        <v>5.2999999999999936</v>
      </c>
      <c r="F340" s="16">
        <f t="shared" si="35"/>
        <v>0</v>
      </c>
      <c r="G340" s="16">
        <f t="shared" si="36"/>
        <v>1</v>
      </c>
      <c r="H340" s="16">
        <f t="shared" si="37"/>
        <v>0</v>
      </c>
      <c r="I340" s="22">
        <f t="shared" si="38"/>
        <v>413.05137104000454</v>
      </c>
      <c r="J340" s="22">
        <f t="shared" si="39"/>
        <v>3902.7579668099957</v>
      </c>
      <c r="K340" s="22">
        <f t="shared" si="40"/>
        <v>21088.84722843366</v>
      </c>
      <c r="M340" s="22">
        <f t="shared" si="34"/>
        <v>7.7999999999999607</v>
      </c>
      <c r="N340" s="22" cm="1">
        <f t="array" ref="N340">_xlfn.PERCENTILE.INC(($N$16/1000000)*$I$3:$I$523+M340*$J$3:$J$523,0.99)</f>
        <v>104204.23142024662</v>
      </c>
    </row>
    <row r="341" spans="1:14" x14ac:dyDescent="0.2">
      <c r="A341" s="19">
        <v>46041</v>
      </c>
      <c r="B341" s="15">
        <v>3.5880000000000001</v>
      </c>
      <c r="C341" s="15">
        <v>4.2240000000000002</v>
      </c>
      <c r="D341" s="16">
        <v>0</v>
      </c>
      <c r="E341" s="16">
        <v>0</v>
      </c>
      <c r="F341" s="16">
        <f t="shared" si="35"/>
        <v>0</v>
      </c>
      <c r="G341" s="16">
        <f t="shared" si="36"/>
        <v>0</v>
      </c>
      <c r="H341" s="16">
        <f t="shared" si="37"/>
        <v>0</v>
      </c>
      <c r="I341" s="22">
        <f t="shared" si="38"/>
        <v>0</v>
      </c>
      <c r="J341" s="22">
        <f t="shared" si="39"/>
        <v>0</v>
      </c>
      <c r="K341" s="22">
        <f t="shared" si="40"/>
        <v>0</v>
      </c>
      <c r="M341" s="22">
        <f t="shared" si="34"/>
        <v>7.8499999999999606</v>
      </c>
      <c r="N341" s="22" cm="1">
        <f t="array" ref="N341">_xlfn.PERCENTILE.INC(($N$16/1000000)*$I$3:$I$523+M341*$J$3:$J$523,0.99)</f>
        <v>104673.11353866871</v>
      </c>
    </row>
    <row r="342" spans="1:14" x14ac:dyDescent="0.2">
      <c r="A342" s="19">
        <v>46042</v>
      </c>
      <c r="B342" s="15">
        <v>3.5979999999999999</v>
      </c>
      <c r="C342" s="15">
        <v>4.2939999999999996</v>
      </c>
      <c r="D342" s="16">
        <v>0.99999999999997868</v>
      </c>
      <c r="E342" s="16">
        <v>6.9999999999999396</v>
      </c>
      <c r="F342" s="16">
        <f t="shared" si="35"/>
        <v>0</v>
      </c>
      <c r="G342" s="16">
        <f t="shared" si="36"/>
        <v>1</v>
      </c>
      <c r="H342" s="16">
        <f t="shared" si="37"/>
        <v>0</v>
      </c>
      <c r="I342" s="22">
        <f t="shared" si="38"/>
        <v>187.777555999996</v>
      </c>
      <c r="J342" s="22">
        <f t="shared" si="39"/>
        <v>5150.4758409999549</v>
      </c>
      <c r="K342" s="22">
        <f t="shared" si="40"/>
        <v>22471.080088979717</v>
      </c>
      <c r="M342" s="22">
        <f t="shared" si="34"/>
        <v>7.8999999999999604</v>
      </c>
      <c r="N342" s="22" cm="1">
        <f t="array" ref="N342">_xlfn.PERCENTILE.INC(($N$16/1000000)*$I$3:$I$523+M342*$J$3:$J$523,0.99)</f>
        <v>105141.99565709081</v>
      </c>
    </row>
    <row r="343" spans="1:14" x14ac:dyDescent="0.2">
      <c r="A343" s="19">
        <v>46043</v>
      </c>
      <c r="B343" s="15">
        <v>3.5870000000000002</v>
      </c>
      <c r="C343" s="15">
        <v>4.2439999999999998</v>
      </c>
      <c r="D343" s="16">
        <v>-1.0999999999999677</v>
      </c>
      <c r="E343" s="16">
        <v>-4.9999999999999822</v>
      </c>
      <c r="F343" s="16">
        <f t="shared" si="35"/>
        <v>0</v>
      </c>
      <c r="G343" s="16">
        <f t="shared" si="36"/>
        <v>1</v>
      </c>
      <c r="H343" s="16">
        <f t="shared" si="37"/>
        <v>0</v>
      </c>
      <c r="I343" s="22">
        <f t="shared" si="38"/>
        <v>-206.60715723999388</v>
      </c>
      <c r="J343" s="22">
        <f t="shared" si="39"/>
        <v>-3699.6347749999868</v>
      </c>
      <c r="K343" s="22">
        <f t="shared" si="40"/>
        <v>-17217.057996875392</v>
      </c>
      <c r="M343" s="22">
        <f t="shared" si="34"/>
        <v>7.9499999999999602</v>
      </c>
      <c r="N343" s="22" cm="1">
        <f t="array" ref="N343">_xlfn.PERCENTILE.INC(($N$16/1000000)*$I$3:$I$523+M343*$J$3:$J$523,0.99)</f>
        <v>105610.8777755129</v>
      </c>
    </row>
    <row r="344" spans="1:14" x14ac:dyDescent="0.2">
      <c r="A344" s="19">
        <v>46044</v>
      </c>
      <c r="B344" s="15">
        <v>3.6070000000000002</v>
      </c>
      <c r="C344" s="15">
        <v>4.2460000000000004</v>
      </c>
      <c r="D344" s="16">
        <v>2.0000000000000018</v>
      </c>
      <c r="E344" s="16">
        <v>0.20000000000006679</v>
      </c>
      <c r="F344" s="16">
        <f t="shared" si="35"/>
        <v>0</v>
      </c>
      <c r="G344" s="16">
        <f t="shared" si="36"/>
        <v>0</v>
      </c>
      <c r="H344" s="16">
        <f t="shared" si="37"/>
        <v>0</v>
      </c>
      <c r="I344" s="22">
        <f t="shared" si="38"/>
        <v>375.51022400000028</v>
      </c>
      <c r="J344" s="22">
        <f t="shared" si="39"/>
        <v>147.62618436004931</v>
      </c>
      <c r="K344" s="22">
        <f t="shared" si="40"/>
        <v>6196.0006389789514</v>
      </c>
      <c r="M344" s="22">
        <f t="shared" si="34"/>
        <v>7.99999999999996</v>
      </c>
      <c r="N344" s="22" cm="1">
        <f t="array" ref="N344">_xlfn.PERCENTILE.INC(($N$16/1000000)*$I$3:$I$523+M344*$J$3:$J$523,0.99)</f>
        <v>106079.759893935</v>
      </c>
    </row>
    <row r="345" spans="1:14" ht="17" x14ac:dyDescent="0.2">
      <c r="A345" s="19">
        <v>46045</v>
      </c>
      <c r="B345" s="15">
        <v>3.5950000000000002</v>
      </c>
      <c r="C345" s="15">
        <v>4.226</v>
      </c>
      <c r="D345" s="16">
        <v>-1.2000000000000011</v>
      </c>
      <c r="E345" s="16">
        <v>-2.0000000000000462</v>
      </c>
      <c r="F345" s="16">
        <f t="shared" si="35"/>
        <v>0</v>
      </c>
      <c r="G345" s="16">
        <f t="shared" si="36"/>
        <v>0</v>
      </c>
      <c r="H345" s="16">
        <f t="shared" si="37"/>
        <v>0</v>
      </c>
      <c r="I345" s="22">
        <f t="shared" si="38"/>
        <v>-225.39231936000016</v>
      </c>
      <c r="J345" s="22">
        <f t="shared" si="39"/>
        <v>-1477.7815640000342</v>
      </c>
      <c r="K345" s="22">
        <f t="shared" si="40"/>
        <v>-9020.1568925242173</v>
      </c>
      <c r="M345" s="25" t="s">
        <v>36</v>
      </c>
      <c r="N345" s="45">
        <f>MIN(N24:N344)</f>
        <v>19532.975049900495</v>
      </c>
    </row>
    <row r="346" spans="1:14" ht="17" x14ac:dyDescent="0.2">
      <c r="A346" s="19">
        <v>46048</v>
      </c>
      <c r="B346" s="15">
        <v>3.5910000000000002</v>
      </c>
      <c r="C346" s="15">
        <v>4.2130000000000001</v>
      </c>
      <c r="D346" s="16">
        <v>-0.40000000000000036</v>
      </c>
      <c r="E346" s="16">
        <v>-1.2999999999999901</v>
      </c>
      <c r="F346" s="16">
        <f t="shared" si="35"/>
        <v>0</v>
      </c>
      <c r="G346" s="16">
        <f t="shared" si="36"/>
        <v>0</v>
      </c>
      <c r="H346" s="16">
        <f t="shared" si="37"/>
        <v>0</v>
      </c>
      <c r="I346" s="22">
        <f t="shared" si="38"/>
        <v>-75.123591040000065</v>
      </c>
      <c r="J346" s="22">
        <f t="shared" si="39"/>
        <v>-960.24371078999263</v>
      </c>
      <c r="K346" s="22">
        <f t="shared" si="40"/>
        <v>-4791.1813287473988</v>
      </c>
      <c r="M346" s="25" t="s">
        <v>37</v>
      </c>
      <c r="N346" s="45">
        <f>INDEX(M24:M344,MATCH(N345,N24:N344,0))</f>
        <v>-2.7500000000000187</v>
      </c>
    </row>
    <row r="347" spans="1:14" ht="17" x14ac:dyDescent="0.2">
      <c r="A347" s="19">
        <v>46049</v>
      </c>
      <c r="B347" s="15">
        <v>3.5739999999999998</v>
      </c>
      <c r="C347" s="15">
        <v>4.2450000000000001</v>
      </c>
      <c r="D347" s="16">
        <v>-1.7000000000000348</v>
      </c>
      <c r="E347" s="16">
        <v>3.2000000000000028</v>
      </c>
      <c r="F347" s="16">
        <f t="shared" si="35"/>
        <v>0</v>
      </c>
      <c r="G347" s="16">
        <f t="shared" si="36"/>
        <v>0</v>
      </c>
      <c r="H347" s="16">
        <f t="shared" si="37"/>
        <v>0</v>
      </c>
      <c r="I347" s="22">
        <f t="shared" si="38"/>
        <v>-319.32486316000654</v>
      </c>
      <c r="J347" s="22">
        <f t="shared" si="39"/>
        <v>2358.7031961600023</v>
      </c>
      <c r="K347" s="22">
        <f t="shared" si="40"/>
        <v>4211.0304711622512</v>
      </c>
      <c r="M347" s="25" t="s">
        <v>38</v>
      </c>
      <c r="N347" s="45">
        <f>-$N$16*$N$12/$O$12/1000000</f>
        <v>-3.8160390138173934</v>
      </c>
    </row>
    <row r="348" spans="1:14" ht="17" x14ac:dyDescent="0.2">
      <c r="A348" s="19">
        <v>46050</v>
      </c>
      <c r="B348" s="15">
        <v>3.573</v>
      </c>
      <c r="C348" s="15">
        <v>4.2439999999999998</v>
      </c>
      <c r="D348" s="16">
        <v>-9.9999999999988987E-2</v>
      </c>
      <c r="E348" s="16">
        <v>-0.1000000000000334</v>
      </c>
      <c r="F348" s="16">
        <f t="shared" si="35"/>
        <v>0</v>
      </c>
      <c r="G348" s="16">
        <f t="shared" si="36"/>
        <v>0</v>
      </c>
      <c r="H348" s="16">
        <f t="shared" si="37"/>
        <v>0</v>
      </c>
      <c r="I348" s="22">
        <f t="shared" si="38"/>
        <v>-18.780224439997934</v>
      </c>
      <c r="J348" s="22">
        <f t="shared" si="39"/>
        <v>-73.823453910024654</v>
      </c>
      <c r="K348" s="22">
        <f t="shared" si="40"/>
        <v>-563.41654685537333</v>
      </c>
      <c r="M348" s="25" t="s">
        <v>39</v>
      </c>
      <c r="N348" s="45" cm="1">
        <f t="array" ref="N348">_xlfn.PERCENTILE.INC(($N$16/1000000)*$I$3:$I$523+N347*$J$3:$J$523,0.99)</f>
        <v>20106.04896654718</v>
      </c>
    </row>
    <row r="349" spans="1:14" x14ac:dyDescent="0.2">
      <c r="A349" s="19">
        <v>46051</v>
      </c>
      <c r="B349" s="15">
        <v>3.5609999999999999</v>
      </c>
      <c r="C349" s="15">
        <v>4.2329999999999997</v>
      </c>
      <c r="D349" s="16">
        <v>-1.2000000000000011</v>
      </c>
      <c r="E349" s="16">
        <v>-1.1000000000000121</v>
      </c>
      <c r="F349" s="16">
        <f t="shared" si="35"/>
        <v>0</v>
      </c>
      <c r="G349" s="16">
        <f t="shared" si="36"/>
        <v>0</v>
      </c>
      <c r="H349" s="16">
        <f t="shared" si="37"/>
        <v>0</v>
      </c>
      <c r="I349" s="22">
        <f t="shared" si="38"/>
        <v>-225.39231936000016</v>
      </c>
      <c r="J349" s="22">
        <f t="shared" si="39"/>
        <v>-812.43792311000902</v>
      </c>
      <c r="K349" s="22">
        <f t="shared" si="40"/>
        <v>-6481.1796012925724</v>
      </c>
    </row>
    <row r="350" spans="1:14" x14ac:dyDescent="0.2">
      <c r="A350" s="19">
        <v>46052</v>
      </c>
      <c r="B350" s="15">
        <v>3.524</v>
      </c>
      <c r="C350" s="15">
        <v>4.2370000000000001</v>
      </c>
      <c r="D350" s="16">
        <v>-3.6999999999999922</v>
      </c>
      <c r="E350" s="16">
        <v>0.40000000000004476</v>
      </c>
      <c r="F350" s="16">
        <f t="shared" si="35"/>
        <v>0</v>
      </c>
      <c r="G350" s="16">
        <f t="shared" si="36"/>
        <v>0</v>
      </c>
      <c r="H350" s="16">
        <f t="shared" si="37"/>
        <v>0</v>
      </c>
      <c r="I350" s="22">
        <f t="shared" si="38"/>
        <v>-695.16725835999853</v>
      </c>
      <c r="J350" s="22">
        <f t="shared" si="39"/>
        <v>295.22473744003298</v>
      </c>
      <c r="K350" s="22">
        <f t="shared" si="40"/>
        <v>-9300.9197594848156</v>
      </c>
    </row>
    <row r="351" spans="1:14" x14ac:dyDescent="0.2">
      <c r="A351" s="19">
        <v>46055</v>
      </c>
      <c r="B351" s="15">
        <v>3.573</v>
      </c>
      <c r="C351" s="15">
        <v>4.2789999999999999</v>
      </c>
      <c r="D351" s="16">
        <v>4.8999999999999932</v>
      </c>
      <c r="E351" s="16">
        <v>4.1999999999999815</v>
      </c>
      <c r="F351" s="16">
        <f t="shared" si="35"/>
        <v>0</v>
      </c>
      <c r="G351" s="16">
        <f t="shared" si="36"/>
        <v>0</v>
      </c>
      <c r="H351" s="16">
        <f t="shared" si="37"/>
        <v>0</v>
      </c>
      <c r="I351" s="22">
        <f t="shared" si="38"/>
        <v>919.68111955999871</v>
      </c>
      <c r="J351" s="22">
        <f t="shared" si="39"/>
        <v>3094.3473027599862</v>
      </c>
      <c r="K351" s="22">
        <f t="shared" si="40"/>
        <v>25603.366823032709</v>
      </c>
    </row>
    <row r="352" spans="1:14" x14ac:dyDescent="0.2">
      <c r="A352" s="19">
        <v>46056</v>
      </c>
      <c r="B352" s="15">
        <v>3.5710000000000002</v>
      </c>
      <c r="C352" s="15">
        <v>4.266</v>
      </c>
      <c r="D352" s="16">
        <v>-0.19999999999997797</v>
      </c>
      <c r="E352" s="16">
        <v>-1.2999999999999901</v>
      </c>
      <c r="F352" s="16">
        <f t="shared" si="35"/>
        <v>0</v>
      </c>
      <c r="G352" s="16">
        <f t="shared" si="36"/>
        <v>0</v>
      </c>
      <c r="H352" s="16">
        <f t="shared" si="37"/>
        <v>0</v>
      </c>
      <c r="I352" s="22">
        <f t="shared" si="38"/>
        <v>-37.560897759995861</v>
      </c>
      <c r="J352" s="22">
        <f t="shared" si="39"/>
        <v>-960.24371078999263</v>
      </c>
      <c r="K352" s="22">
        <f t="shared" si="40"/>
        <v>-4227.7409295473353</v>
      </c>
    </row>
    <row r="353" spans="1:11" x14ac:dyDescent="0.2">
      <c r="A353" s="19">
        <v>46057</v>
      </c>
      <c r="B353" s="15">
        <v>3.5550000000000002</v>
      </c>
      <c r="C353" s="15">
        <v>4.2759999999999998</v>
      </c>
      <c r="D353" s="16">
        <v>-1.6000000000000014</v>
      </c>
      <c r="E353" s="16">
        <v>0.99999999999997868</v>
      </c>
      <c r="F353" s="16">
        <f t="shared" si="35"/>
        <v>0</v>
      </c>
      <c r="G353" s="16">
        <f t="shared" si="36"/>
        <v>0</v>
      </c>
      <c r="H353" s="16">
        <f t="shared" si="37"/>
        <v>0</v>
      </c>
      <c r="I353" s="22">
        <f t="shared" si="38"/>
        <v>-300.53745664000024</v>
      </c>
      <c r="J353" s="22">
        <f t="shared" si="39"/>
        <v>737.85460899998429</v>
      </c>
      <c r="K353" s="22">
        <f t="shared" si="40"/>
        <v>-1692.3798751310851</v>
      </c>
    </row>
    <row r="354" spans="1:11" x14ac:dyDescent="0.2">
      <c r="A354" s="19">
        <v>46058</v>
      </c>
      <c r="B354" s="15">
        <v>3.452</v>
      </c>
      <c r="C354" s="15">
        <v>4.181</v>
      </c>
      <c r="D354" s="16">
        <v>-10.30000000000002</v>
      </c>
      <c r="E354" s="16">
        <v>-9.4999999999999751</v>
      </c>
      <c r="F354" s="16">
        <f t="shared" si="35"/>
        <v>1</v>
      </c>
      <c r="G354" s="16">
        <f t="shared" si="36"/>
        <v>1</v>
      </c>
      <c r="H354" s="16">
        <f t="shared" si="37"/>
        <v>1</v>
      </c>
      <c r="I354" s="22">
        <f t="shared" si="38"/>
        <v>-1936.7210839600039</v>
      </c>
      <c r="J354" s="22">
        <f t="shared" si="39"/>
        <v>-7044.0715377499819</v>
      </c>
      <c r="K354" s="22">
        <f t="shared" si="40"/>
        <v>-55931.268063574666</v>
      </c>
    </row>
    <row r="355" spans="1:11" x14ac:dyDescent="0.2">
      <c r="A355" s="19">
        <v>46059</v>
      </c>
      <c r="B355" s="15">
        <v>3.5</v>
      </c>
      <c r="C355" s="15">
        <v>4.2080000000000002</v>
      </c>
      <c r="D355" s="16">
        <v>4.8000000000000043</v>
      </c>
      <c r="E355" s="16">
        <v>2.7000000000000135</v>
      </c>
      <c r="F355" s="16">
        <f t="shared" si="35"/>
        <v>0</v>
      </c>
      <c r="G355" s="16">
        <f t="shared" si="36"/>
        <v>0</v>
      </c>
      <c r="H355" s="16">
        <f t="shared" si="37"/>
        <v>0</v>
      </c>
      <c r="I355" s="22">
        <f t="shared" si="38"/>
        <v>900.9228902400007</v>
      </c>
      <c r="J355" s="22">
        <f t="shared" si="39"/>
        <v>1990.6220996100099</v>
      </c>
      <c r="K355" s="22">
        <f t="shared" si="40"/>
        <v>21110.134947478902</v>
      </c>
    </row>
    <row r="356" spans="1:11" x14ac:dyDescent="0.2">
      <c r="A356" s="19">
        <v>46062</v>
      </c>
      <c r="B356" s="15">
        <v>3.4870000000000001</v>
      </c>
      <c r="C356" s="15">
        <v>4.2030000000000003</v>
      </c>
      <c r="D356" s="16">
        <v>-1.2999999999999901</v>
      </c>
      <c r="E356" s="16">
        <v>-0.49999999999998934</v>
      </c>
      <c r="F356" s="16">
        <f t="shared" si="35"/>
        <v>0</v>
      </c>
      <c r="G356" s="16">
        <f t="shared" si="36"/>
        <v>0</v>
      </c>
      <c r="H356" s="16">
        <f t="shared" si="37"/>
        <v>0</v>
      </c>
      <c r="I356" s="22">
        <f t="shared" si="38"/>
        <v>-244.1779303599981</v>
      </c>
      <c r="J356" s="22">
        <f t="shared" si="39"/>
        <v>-369.18634774999214</v>
      </c>
      <c r="K356" s="22">
        <f t="shared" si="40"/>
        <v>-5071.4984617826967</v>
      </c>
    </row>
    <row r="357" spans="1:11" x14ac:dyDescent="0.2">
      <c r="A357" s="19">
        <v>46063</v>
      </c>
      <c r="B357" s="15">
        <v>3.4540000000000002</v>
      </c>
      <c r="C357" s="15">
        <v>4.1449999999999996</v>
      </c>
      <c r="D357" s="16">
        <v>-3.2999999999999918</v>
      </c>
      <c r="E357" s="16">
        <v>-5.8000000000000718</v>
      </c>
      <c r="F357" s="16">
        <f t="shared" si="35"/>
        <v>0</v>
      </c>
      <c r="G357" s="16">
        <f t="shared" si="36"/>
        <v>1</v>
      </c>
      <c r="H357" s="16">
        <f t="shared" si="37"/>
        <v>0</v>
      </c>
      <c r="I357" s="22">
        <f t="shared" si="38"/>
        <v>-619.98441515999843</v>
      </c>
      <c r="J357" s="22">
        <f t="shared" si="39"/>
        <v>-4293.1789532400535</v>
      </c>
      <c r="K357" s="22">
        <f t="shared" si="40"/>
        <v>-25682.704606263738</v>
      </c>
    </row>
    <row r="358" spans="1:11" x14ac:dyDescent="0.2">
      <c r="A358" s="19">
        <v>46064</v>
      </c>
      <c r="B358" s="15">
        <v>3.512</v>
      </c>
      <c r="C358" s="15">
        <v>4.173</v>
      </c>
      <c r="D358" s="16">
        <v>5.7999999999999829</v>
      </c>
      <c r="E358" s="16">
        <v>2.8000000000000469</v>
      </c>
      <c r="F358" s="16">
        <f t="shared" si="35"/>
        <v>1</v>
      </c>
      <c r="G358" s="16">
        <f t="shared" si="36"/>
        <v>0</v>
      </c>
      <c r="H358" s="16">
        <f t="shared" si="37"/>
        <v>0</v>
      </c>
      <c r="I358" s="22">
        <f t="shared" si="38"/>
        <v>1088.4849838399966</v>
      </c>
      <c r="J358" s="22">
        <f t="shared" si="39"/>
        <v>2064.2521345600344</v>
      </c>
      <c r="K358" s="22">
        <f t="shared" si="40"/>
        <v>24204.54143743687</v>
      </c>
    </row>
    <row r="359" spans="1:11" x14ac:dyDescent="0.2">
      <c r="A359" s="19">
        <v>46065</v>
      </c>
      <c r="B359" s="15">
        <v>3.4569999999999999</v>
      </c>
      <c r="C359" s="15">
        <v>4.0999999999999996</v>
      </c>
      <c r="D359" s="16">
        <v>-5.500000000000016</v>
      </c>
      <c r="E359" s="16">
        <v>-7.3000000000000398</v>
      </c>
      <c r="F359" s="16">
        <f t="shared" si="35"/>
        <v>1</v>
      </c>
      <c r="G359" s="16">
        <f t="shared" si="36"/>
        <v>1</v>
      </c>
      <c r="H359" s="16">
        <f t="shared" si="37"/>
        <v>1</v>
      </c>
      <c r="I359" s="22">
        <f t="shared" si="38"/>
        <v>-1033.5789310000027</v>
      </c>
      <c r="J359" s="22">
        <f t="shared" si="39"/>
        <v>-5407.2658863900288</v>
      </c>
      <c r="K359" s="22">
        <f t="shared" si="40"/>
        <v>-36138.021545548283</v>
      </c>
    </row>
    <row r="360" spans="1:11" x14ac:dyDescent="0.2">
      <c r="A360" s="19">
        <v>46066</v>
      </c>
      <c r="B360" s="15">
        <v>3.4089999999999998</v>
      </c>
      <c r="C360" s="15">
        <v>4.0490000000000004</v>
      </c>
      <c r="D360" s="16">
        <v>-4.8000000000000043</v>
      </c>
      <c r="E360" s="16">
        <v>-5.0999999999999268</v>
      </c>
      <c r="F360" s="16">
        <f t="shared" si="35"/>
        <v>1</v>
      </c>
      <c r="G360" s="16">
        <f t="shared" si="36"/>
        <v>1</v>
      </c>
      <c r="H360" s="16">
        <f t="shared" si="37"/>
        <v>1</v>
      </c>
      <c r="I360" s="22">
        <f t="shared" si="38"/>
        <v>-901.95710976000066</v>
      </c>
      <c r="J360" s="22">
        <f t="shared" si="39"/>
        <v>-3773.8036199099452</v>
      </c>
      <c r="K360" s="22">
        <f t="shared" si="40"/>
        <v>-27930.338490461669</v>
      </c>
    </row>
    <row r="361" spans="1:11" x14ac:dyDescent="0.2">
      <c r="A361" s="19">
        <v>46069</v>
      </c>
      <c r="B361" s="15">
        <v>3.4089999999999998</v>
      </c>
      <c r="C361" s="15">
        <v>4.0490000000000004</v>
      </c>
      <c r="D361" s="16">
        <v>0</v>
      </c>
      <c r="E361" s="16">
        <v>0</v>
      </c>
      <c r="F361" s="16">
        <f t="shared" si="35"/>
        <v>0</v>
      </c>
      <c r="G361" s="16">
        <f t="shared" si="36"/>
        <v>0</v>
      </c>
      <c r="H361" s="16">
        <f t="shared" si="37"/>
        <v>0</v>
      </c>
      <c r="I361" s="22">
        <f t="shared" si="38"/>
        <v>0</v>
      </c>
      <c r="J361" s="22">
        <f t="shared" si="39"/>
        <v>0</v>
      </c>
      <c r="K361" s="22">
        <f t="shared" si="40"/>
        <v>0</v>
      </c>
    </row>
    <row r="362" spans="1:11" x14ac:dyDescent="0.2">
      <c r="A362" s="19">
        <v>46070</v>
      </c>
      <c r="B362" s="15">
        <v>3.4359999999999999</v>
      </c>
      <c r="C362" s="15">
        <v>4.0599999999999996</v>
      </c>
      <c r="D362" s="16">
        <v>2.7000000000000135</v>
      </c>
      <c r="E362" s="16">
        <v>1.0999999999999233</v>
      </c>
      <c r="F362" s="16">
        <f t="shared" si="35"/>
        <v>0</v>
      </c>
      <c r="G362" s="16">
        <f t="shared" si="36"/>
        <v>0</v>
      </c>
      <c r="H362" s="16">
        <f t="shared" si="37"/>
        <v>0</v>
      </c>
      <c r="I362" s="22">
        <f t="shared" si="38"/>
        <v>506.89638324000248</v>
      </c>
      <c r="J362" s="22">
        <f t="shared" si="39"/>
        <v>811.60207688994342</v>
      </c>
      <c r="K362" s="22">
        <f t="shared" si="40"/>
        <v>10700.550937707285</v>
      </c>
    </row>
    <row r="363" spans="1:11" x14ac:dyDescent="0.2">
      <c r="A363" s="19">
        <v>46071</v>
      </c>
      <c r="B363" s="15">
        <v>3.4630000000000001</v>
      </c>
      <c r="C363" s="15">
        <v>4.0839999999999996</v>
      </c>
      <c r="D363" s="16">
        <v>2.7000000000000135</v>
      </c>
      <c r="E363" s="16">
        <v>2.4000000000000021</v>
      </c>
      <c r="F363" s="16">
        <f t="shared" si="35"/>
        <v>0</v>
      </c>
      <c r="G363" s="16">
        <f t="shared" si="36"/>
        <v>0</v>
      </c>
      <c r="H363" s="16">
        <f t="shared" si="37"/>
        <v>0</v>
      </c>
      <c r="I363" s="22">
        <f t="shared" si="38"/>
        <v>506.89638324000248</v>
      </c>
      <c r="J363" s="22">
        <f t="shared" si="39"/>
        <v>1769.6905478400013</v>
      </c>
      <c r="K363" s="22">
        <f t="shared" si="40"/>
        <v>14356.653921541358</v>
      </c>
    </row>
    <row r="364" spans="1:11" x14ac:dyDescent="0.2">
      <c r="A364" s="19">
        <v>46072</v>
      </c>
      <c r="B364" s="15">
        <v>3.46</v>
      </c>
      <c r="C364" s="15">
        <v>4.0679999999999996</v>
      </c>
      <c r="D364" s="16">
        <v>-0.30000000000001137</v>
      </c>
      <c r="E364" s="16">
        <v>-1.6000000000000014</v>
      </c>
      <c r="F364" s="16">
        <f t="shared" si="35"/>
        <v>0</v>
      </c>
      <c r="G364" s="16">
        <f t="shared" si="36"/>
        <v>0</v>
      </c>
      <c r="H364" s="16">
        <f t="shared" si="37"/>
        <v>0</v>
      </c>
      <c r="I364" s="22">
        <f t="shared" si="38"/>
        <v>-56.342019960002141</v>
      </c>
      <c r="J364" s="22">
        <f t="shared" si="39"/>
        <v>-1182.0042009600011</v>
      </c>
      <c r="K364" s="22">
        <f t="shared" si="40"/>
        <v>-5355.7044447594508</v>
      </c>
    </row>
    <row r="365" spans="1:11" x14ac:dyDescent="0.2">
      <c r="A365" s="19">
        <v>46073</v>
      </c>
      <c r="B365" s="15">
        <v>3.4790000000000001</v>
      </c>
      <c r="C365" s="15">
        <v>4.085</v>
      </c>
      <c r="D365" s="16">
        <v>1.9000000000000128</v>
      </c>
      <c r="E365" s="16">
        <v>1.7000000000000348</v>
      </c>
      <c r="F365" s="16">
        <f t="shared" si="35"/>
        <v>0</v>
      </c>
      <c r="G365" s="16">
        <f t="shared" si="36"/>
        <v>0</v>
      </c>
      <c r="H365" s="16">
        <f t="shared" si="37"/>
        <v>0</v>
      </c>
      <c r="I365" s="22">
        <f t="shared" si="38"/>
        <v>356.73897716000243</v>
      </c>
      <c r="J365" s="22">
        <f t="shared" si="39"/>
        <v>1253.9418200100256</v>
      </c>
      <c r="K365" s="22">
        <f t="shared" si="40"/>
        <v>10136.175563615481</v>
      </c>
    </row>
    <row r="366" spans="1:11" x14ac:dyDescent="0.2">
      <c r="A366" s="19">
        <v>46076</v>
      </c>
      <c r="B366" s="15">
        <v>3.44</v>
      </c>
      <c r="C366" s="15">
        <v>4.0330000000000004</v>
      </c>
      <c r="D366" s="16">
        <v>-3.9000000000000146</v>
      </c>
      <c r="E366" s="16">
        <v>-5.1999999999999602</v>
      </c>
      <c r="F366" s="16">
        <f t="shared" si="35"/>
        <v>0</v>
      </c>
      <c r="G366" s="16">
        <f t="shared" si="36"/>
        <v>1</v>
      </c>
      <c r="H366" s="16">
        <f t="shared" si="37"/>
        <v>0</v>
      </c>
      <c r="I366" s="22">
        <f t="shared" si="38"/>
        <v>-732.76137324000263</v>
      </c>
      <c r="J366" s="22">
        <f t="shared" si="39"/>
        <v>-3847.9793726399703</v>
      </c>
      <c r="K366" s="22">
        <f t="shared" si="40"/>
        <v>-25675.460008958744</v>
      </c>
    </row>
    <row r="367" spans="1:11" x14ac:dyDescent="0.2">
      <c r="A367" s="19">
        <v>46077</v>
      </c>
      <c r="B367" s="15">
        <v>3.4630000000000001</v>
      </c>
      <c r="C367" s="15">
        <v>4.0309999999999997</v>
      </c>
      <c r="D367" s="16">
        <v>2.3000000000000131</v>
      </c>
      <c r="E367" s="16">
        <v>-0.20000000000006679</v>
      </c>
      <c r="F367" s="16">
        <f t="shared" si="35"/>
        <v>0</v>
      </c>
      <c r="G367" s="16">
        <f t="shared" si="36"/>
        <v>0</v>
      </c>
      <c r="H367" s="16">
        <f t="shared" si="37"/>
        <v>0</v>
      </c>
      <c r="I367" s="22">
        <f t="shared" si="38"/>
        <v>431.82127124000249</v>
      </c>
      <c r="J367" s="22">
        <f t="shared" si="39"/>
        <v>-147.65381564004932</v>
      </c>
      <c r="K367" s="22">
        <f t="shared" si="40"/>
        <v>5913.8663475786079</v>
      </c>
    </row>
    <row r="368" spans="1:11" x14ac:dyDescent="0.2">
      <c r="A368" s="19">
        <v>46078</v>
      </c>
      <c r="B368" s="15">
        <v>3.472</v>
      </c>
      <c r="C368" s="15">
        <v>4.0540000000000003</v>
      </c>
      <c r="D368" s="16">
        <v>0.8999999999999897</v>
      </c>
      <c r="E368" s="16">
        <v>2.3000000000000576</v>
      </c>
      <c r="F368" s="16">
        <f t="shared" si="35"/>
        <v>0</v>
      </c>
      <c r="G368" s="16">
        <f t="shared" si="36"/>
        <v>0</v>
      </c>
      <c r="H368" s="16">
        <f t="shared" si="37"/>
        <v>0</v>
      </c>
      <c r="I368" s="22">
        <f t="shared" si="38"/>
        <v>169.00182035999808</v>
      </c>
      <c r="J368" s="22">
        <f t="shared" si="39"/>
        <v>1696.0328816100423</v>
      </c>
      <c r="K368" s="22">
        <f t="shared" si="40"/>
        <v>9007.1549503410297</v>
      </c>
    </row>
    <row r="369" spans="1:11" x14ac:dyDescent="0.2">
      <c r="A369" s="19">
        <v>46079</v>
      </c>
      <c r="B369" s="15">
        <v>3.431</v>
      </c>
      <c r="C369" s="15">
        <v>4.0049999999999999</v>
      </c>
      <c r="D369" s="16">
        <v>-4.0999999999999925</v>
      </c>
      <c r="E369" s="16">
        <v>-4.9000000000000377</v>
      </c>
      <c r="F369" s="16">
        <f t="shared" si="35"/>
        <v>0</v>
      </c>
      <c r="G369" s="16">
        <f t="shared" si="36"/>
        <v>1</v>
      </c>
      <c r="H369" s="16">
        <f t="shared" si="37"/>
        <v>0</v>
      </c>
      <c r="I369" s="22">
        <f t="shared" si="38"/>
        <v>-770.35728363999851</v>
      </c>
      <c r="J369" s="22">
        <f t="shared" si="39"/>
        <v>-3625.4728379100275</v>
      </c>
      <c r="K369" s="22">
        <f t="shared" si="40"/>
        <v>-25390.305047599904</v>
      </c>
    </row>
    <row r="370" spans="1:11" x14ac:dyDescent="0.2">
      <c r="A370" s="19">
        <v>46080</v>
      </c>
      <c r="B370" s="15">
        <v>3.3780000000000001</v>
      </c>
      <c r="C370" s="15">
        <v>3.9409999999999998</v>
      </c>
      <c r="D370" s="16">
        <v>-5.2999999999999936</v>
      </c>
      <c r="E370" s="16">
        <v>-6.4000000000000057</v>
      </c>
      <c r="F370" s="16">
        <f t="shared" si="35"/>
        <v>1</v>
      </c>
      <c r="G370" s="16">
        <f t="shared" si="36"/>
        <v>1</v>
      </c>
      <c r="H370" s="16">
        <f t="shared" si="37"/>
        <v>1</v>
      </c>
      <c r="I370" s="22">
        <f t="shared" si="38"/>
        <v>-995.97045195999874</v>
      </c>
      <c r="J370" s="22">
        <f t="shared" si="39"/>
        <v>-4738.6272153600048</v>
      </c>
      <c r="K370" s="22">
        <f t="shared" si="40"/>
        <v>-33022.343105150634</v>
      </c>
    </row>
    <row r="371" spans="1:11" x14ac:dyDescent="0.2">
      <c r="A371" s="19">
        <v>46083</v>
      </c>
      <c r="B371" s="15">
        <v>3.476</v>
      </c>
      <c r="C371" s="15">
        <v>4.0359999999999996</v>
      </c>
      <c r="D371" s="16">
        <v>9.7999999999999865</v>
      </c>
      <c r="E371" s="16">
        <v>9.4999999999999751</v>
      </c>
      <c r="F371" s="16">
        <f t="shared" si="35"/>
        <v>1</v>
      </c>
      <c r="G371" s="16">
        <f t="shared" si="36"/>
        <v>1</v>
      </c>
      <c r="H371" s="16">
        <f t="shared" si="37"/>
        <v>1</v>
      </c>
      <c r="I371" s="22">
        <f t="shared" si="38"/>
        <v>1838.2844782399973</v>
      </c>
      <c r="J371" s="22">
        <f t="shared" si="39"/>
        <v>6981.7284622499819</v>
      </c>
      <c r="K371" s="22">
        <f t="shared" si="40"/>
        <v>54216.815369425211</v>
      </c>
    </row>
    <row r="372" spans="1:11" x14ac:dyDescent="0.2">
      <c r="A372" s="19">
        <v>46084</v>
      </c>
      <c r="B372" s="15">
        <v>3.5089999999999999</v>
      </c>
      <c r="C372" s="15">
        <v>4.0609999999999999</v>
      </c>
      <c r="D372" s="16">
        <v>3.2999999999999918</v>
      </c>
      <c r="E372" s="16">
        <v>2.5000000000000355</v>
      </c>
      <c r="F372" s="16">
        <f t="shared" si="35"/>
        <v>0</v>
      </c>
      <c r="G372" s="16">
        <f t="shared" si="36"/>
        <v>0</v>
      </c>
      <c r="H372" s="16">
        <f t="shared" si="37"/>
        <v>0</v>
      </c>
      <c r="I372" s="22">
        <f t="shared" si="38"/>
        <v>619.4955848399984</v>
      </c>
      <c r="J372" s="22">
        <f t="shared" si="39"/>
        <v>1843.3413062500258</v>
      </c>
      <c r="K372" s="22">
        <f t="shared" si="40"/>
        <v>16326.69611303119</v>
      </c>
    </row>
    <row r="373" spans="1:11" x14ac:dyDescent="0.2">
      <c r="A373" s="19">
        <v>46085</v>
      </c>
      <c r="B373" s="15">
        <v>3.55</v>
      </c>
      <c r="C373" s="15">
        <v>4.0979999999999999</v>
      </c>
      <c r="D373" s="16">
        <v>4.0999999999999925</v>
      </c>
      <c r="E373" s="16">
        <v>3.6999999999999922</v>
      </c>
      <c r="F373" s="16">
        <f t="shared" si="35"/>
        <v>0</v>
      </c>
      <c r="G373" s="16">
        <f t="shared" si="36"/>
        <v>0</v>
      </c>
      <c r="H373" s="16">
        <f t="shared" si="37"/>
        <v>0</v>
      </c>
      <c r="I373" s="22">
        <f t="shared" si="38"/>
        <v>769.60271635999857</v>
      </c>
      <c r="J373" s="22">
        <f t="shared" si="39"/>
        <v>2726.6115972099942</v>
      </c>
      <c r="K373" s="22">
        <f t="shared" si="40"/>
        <v>21948.89697588027</v>
      </c>
    </row>
    <row r="374" spans="1:11" x14ac:dyDescent="0.2">
      <c r="A374" s="19">
        <v>46086</v>
      </c>
      <c r="B374" s="15">
        <v>3.581</v>
      </c>
      <c r="C374" s="15">
        <v>4.1369999999999996</v>
      </c>
      <c r="D374" s="16">
        <v>3.1000000000000139</v>
      </c>
      <c r="E374" s="16">
        <v>3.8999999999999702</v>
      </c>
      <c r="F374" s="16">
        <f t="shared" si="35"/>
        <v>0</v>
      </c>
      <c r="G374" s="16">
        <f t="shared" si="36"/>
        <v>0</v>
      </c>
      <c r="H374" s="16">
        <f t="shared" si="37"/>
        <v>0</v>
      </c>
      <c r="I374" s="22">
        <f t="shared" si="38"/>
        <v>581.96431316000258</v>
      </c>
      <c r="J374" s="22">
        <f t="shared" si="39"/>
        <v>2873.7266028899776</v>
      </c>
      <c r="K374" s="22">
        <f t="shared" si="40"/>
        <v>19695.717529073117</v>
      </c>
    </row>
    <row r="375" spans="1:11" x14ac:dyDescent="0.2">
      <c r="A375" s="19">
        <v>46087</v>
      </c>
      <c r="B375" s="15">
        <v>3.5630000000000002</v>
      </c>
      <c r="C375" s="15">
        <v>4.1399999999999997</v>
      </c>
      <c r="D375" s="16">
        <v>-1.7999999999999794</v>
      </c>
      <c r="E375" s="16">
        <v>0.30000000000001137</v>
      </c>
      <c r="F375" s="16">
        <f t="shared" si="35"/>
        <v>0</v>
      </c>
      <c r="G375" s="16">
        <f t="shared" si="36"/>
        <v>0</v>
      </c>
      <c r="H375" s="16">
        <f t="shared" si="37"/>
        <v>0</v>
      </c>
      <c r="I375" s="22">
        <f t="shared" si="38"/>
        <v>-338.11271855999615</v>
      </c>
      <c r="J375" s="22">
        <f t="shared" si="39"/>
        <v>221.42891481000837</v>
      </c>
      <c r="K375" s="22">
        <f t="shared" si="40"/>
        <v>-4226.7094006977022</v>
      </c>
    </row>
    <row r="376" spans="1:11" x14ac:dyDescent="0.2">
      <c r="A376" s="19">
        <v>46090</v>
      </c>
      <c r="B376" s="15">
        <v>3.5390000000000001</v>
      </c>
      <c r="C376" s="15">
        <v>4.0979999999999999</v>
      </c>
      <c r="D376" s="16">
        <v>-2.4000000000000021</v>
      </c>
      <c r="E376" s="16">
        <v>-4.1999999999999815</v>
      </c>
      <c r="F376" s="16">
        <f t="shared" si="35"/>
        <v>0</v>
      </c>
      <c r="G376" s="16">
        <f t="shared" si="36"/>
        <v>0</v>
      </c>
      <c r="H376" s="16">
        <f t="shared" si="37"/>
        <v>0</v>
      </c>
      <c r="I376" s="22">
        <f t="shared" si="38"/>
        <v>-450.84927744000038</v>
      </c>
      <c r="J376" s="22">
        <f t="shared" si="39"/>
        <v>-3106.5326972399857</v>
      </c>
      <c r="K376" s="22">
        <f t="shared" si="40"/>
        <v>-18617.389131967167</v>
      </c>
    </row>
    <row r="377" spans="1:11" x14ac:dyDescent="0.2">
      <c r="A377" s="19">
        <v>46091</v>
      </c>
      <c r="B377" s="15">
        <v>3.593</v>
      </c>
      <c r="C377" s="15">
        <v>4.1580000000000004</v>
      </c>
      <c r="D377" s="16">
        <v>5.3999999999999826</v>
      </c>
      <c r="E377" s="16">
        <v>6.0000000000000497</v>
      </c>
      <c r="F377" s="16">
        <f t="shared" si="35"/>
        <v>1</v>
      </c>
      <c r="G377" s="16">
        <f t="shared" si="36"/>
        <v>1</v>
      </c>
      <c r="H377" s="16">
        <f t="shared" si="37"/>
        <v>1</v>
      </c>
      <c r="I377" s="22">
        <f t="shared" si="38"/>
        <v>1013.4655329599967</v>
      </c>
      <c r="J377" s="22">
        <f t="shared" si="39"/>
        <v>4416.7659240000366</v>
      </c>
      <c r="K377" s="22">
        <f t="shared" si="40"/>
        <v>32056.534075283318</v>
      </c>
    </row>
    <row r="378" spans="1:11" x14ac:dyDescent="0.2">
      <c r="A378" s="19">
        <v>46092</v>
      </c>
      <c r="B378" s="15">
        <v>3.6539999999999999</v>
      </c>
      <c r="C378" s="15">
        <v>4.2320000000000002</v>
      </c>
      <c r="D378" s="16">
        <v>6.0999999999999943</v>
      </c>
      <c r="E378" s="16">
        <v>7.3999999999999844</v>
      </c>
      <c r="F378" s="16">
        <f t="shared" si="35"/>
        <v>1</v>
      </c>
      <c r="G378" s="16">
        <f t="shared" si="36"/>
        <v>1</v>
      </c>
      <c r="H378" s="16">
        <f t="shared" si="37"/>
        <v>1</v>
      </c>
      <c r="I378" s="22">
        <f t="shared" si="38"/>
        <v>1144.744858759999</v>
      </c>
      <c r="J378" s="22">
        <f t="shared" si="39"/>
        <v>5443.7663888399893</v>
      </c>
      <c r="K378" s="22">
        <f t="shared" si="40"/>
        <v>37944.797803321213</v>
      </c>
    </row>
    <row r="379" spans="1:11" x14ac:dyDescent="0.2">
      <c r="A379" s="19">
        <v>46093</v>
      </c>
      <c r="B379" s="15">
        <v>3.7440000000000002</v>
      </c>
      <c r="C379" s="15">
        <v>4.2629999999999999</v>
      </c>
      <c r="D379" s="16">
        <v>9.0000000000000302</v>
      </c>
      <c r="E379" s="16">
        <v>3.0999999999999694</v>
      </c>
      <c r="F379" s="16">
        <f t="shared" si="35"/>
        <v>1</v>
      </c>
      <c r="G379" s="16">
        <f t="shared" si="36"/>
        <v>0</v>
      </c>
      <c r="H379" s="16">
        <f t="shared" si="37"/>
        <v>0</v>
      </c>
      <c r="I379" s="22">
        <f t="shared" si="38"/>
        <v>1688.3820360000054</v>
      </c>
      <c r="J379" s="22">
        <f t="shared" si="39"/>
        <v>2285.1007924899773</v>
      </c>
      <c r="K379" s="22">
        <f t="shared" si="40"/>
        <v>34045.764314646876</v>
      </c>
    </row>
    <row r="380" spans="1:11" x14ac:dyDescent="0.2">
      <c r="A380" s="19">
        <v>46094</v>
      </c>
      <c r="B380" s="15">
        <v>3.718</v>
      </c>
      <c r="C380" s="15">
        <v>4.2779999999999996</v>
      </c>
      <c r="D380" s="16">
        <v>-2.6000000000000245</v>
      </c>
      <c r="E380" s="16">
        <v>1.499999999999968</v>
      </c>
      <c r="F380" s="16">
        <f t="shared" si="35"/>
        <v>0</v>
      </c>
      <c r="G380" s="16">
        <f t="shared" si="36"/>
        <v>0</v>
      </c>
      <c r="H380" s="16">
        <f t="shared" si="37"/>
        <v>0</v>
      </c>
      <c r="I380" s="22">
        <f t="shared" si="38"/>
        <v>-488.43172144000454</v>
      </c>
      <c r="J380" s="22">
        <f t="shared" si="39"/>
        <v>1106.5228702499764</v>
      </c>
      <c r="K380" s="22">
        <f t="shared" si="40"/>
        <v>-3103.9413790449562</v>
      </c>
    </row>
    <row r="381" spans="1:11" x14ac:dyDescent="0.2">
      <c r="A381" s="19">
        <v>46097</v>
      </c>
      <c r="B381" s="15">
        <v>3.6720000000000002</v>
      </c>
      <c r="C381" s="15">
        <v>4.218</v>
      </c>
      <c r="D381" s="16">
        <v>-4.5999999999999819</v>
      </c>
      <c r="E381" s="16">
        <v>-5.9999999999999609</v>
      </c>
      <c r="F381" s="16">
        <f t="shared" si="35"/>
        <v>0</v>
      </c>
      <c r="G381" s="16">
        <f t="shared" si="36"/>
        <v>1</v>
      </c>
      <c r="H381" s="16">
        <f t="shared" si="37"/>
        <v>0</v>
      </c>
      <c r="I381" s="22">
        <f t="shared" si="38"/>
        <v>-864.35491503999663</v>
      </c>
      <c r="J381" s="22">
        <f t="shared" si="39"/>
        <v>-4441.6340759999703</v>
      </c>
      <c r="K381" s="22">
        <f t="shared" si="40"/>
        <v>-29914.772644716606</v>
      </c>
    </row>
    <row r="382" spans="1:11" x14ac:dyDescent="0.2">
      <c r="A382" s="19">
        <v>46098</v>
      </c>
      <c r="B382" s="15">
        <v>3.6760000000000002</v>
      </c>
      <c r="C382" s="15">
        <v>4.2</v>
      </c>
      <c r="D382" s="16">
        <v>0.40000000000000036</v>
      </c>
      <c r="E382" s="16">
        <v>-1.7999999999999794</v>
      </c>
      <c r="F382" s="16">
        <f t="shared" si="35"/>
        <v>0</v>
      </c>
      <c r="G382" s="16">
        <f t="shared" si="36"/>
        <v>0</v>
      </c>
      <c r="H382" s="16">
        <f t="shared" si="37"/>
        <v>0</v>
      </c>
      <c r="I382" s="22">
        <f t="shared" si="38"/>
        <v>75.116408960000072</v>
      </c>
      <c r="J382" s="22">
        <f t="shared" si="39"/>
        <v>-1329.8790668399845</v>
      </c>
      <c r="K382" s="22">
        <f t="shared" si="40"/>
        <v>-3948.1242683204482</v>
      </c>
    </row>
    <row r="383" spans="1:11" x14ac:dyDescent="0.2">
      <c r="A383" s="19">
        <v>46099</v>
      </c>
      <c r="B383" s="15">
        <v>3.7770000000000001</v>
      </c>
      <c r="C383" s="15">
        <v>4.2670000000000003</v>
      </c>
      <c r="D383" s="16">
        <v>10.099999999999998</v>
      </c>
      <c r="E383" s="16">
        <v>6.7000000000000171</v>
      </c>
      <c r="F383" s="16">
        <f t="shared" si="35"/>
        <v>1</v>
      </c>
      <c r="G383" s="16">
        <f t="shared" si="36"/>
        <v>1</v>
      </c>
      <c r="H383" s="16">
        <f t="shared" si="37"/>
        <v>1</v>
      </c>
      <c r="I383" s="22">
        <f t="shared" si="38"/>
        <v>1894.4904875599993</v>
      </c>
      <c r="J383" s="22">
        <f t="shared" si="39"/>
        <v>4930.4353980100122</v>
      </c>
      <c r="K383" s="22">
        <f t="shared" si="40"/>
        <v>47232.091147312487</v>
      </c>
    </row>
    <row r="384" spans="1:11" x14ac:dyDescent="0.2">
      <c r="A384" s="19">
        <v>46100</v>
      </c>
      <c r="B384" s="15">
        <v>3.7930000000000001</v>
      </c>
      <c r="C384" s="15">
        <v>4.2510000000000003</v>
      </c>
      <c r="D384" s="16">
        <v>1.6000000000000014</v>
      </c>
      <c r="E384" s="16">
        <v>-1.6000000000000014</v>
      </c>
      <c r="F384" s="16">
        <f t="shared" si="35"/>
        <v>0</v>
      </c>
      <c r="G384" s="16">
        <f t="shared" si="36"/>
        <v>0</v>
      </c>
      <c r="H384" s="16">
        <f t="shared" si="37"/>
        <v>0</v>
      </c>
      <c r="I384" s="22">
        <f t="shared" si="38"/>
        <v>300.42254336000025</v>
      </c>
      <c r="J384" s="22">
        <f t="shared" si="39"/>
        <v>-1182.0042009600011</v>
      </c>
      <c r="K384" s="22">
        <f t="shared" si="40"/>
        <v>-4.235994959414711</v>
      </c>
    </row>
    <row r="385" spans="1:11" x14ac:dyDescent="0.2">
      <c r="A385" s="19">
        <v>46101</v>
      </c>
      <c r="B385" s="15">
        <v>3.9020000000000001</v>
      </c>
      <c r="C385" s="15">
        <v>4.3819999999999997</v>
      </c>
      <c r="D385" s="16">
        <v>10.899999999999999</v>
      </c>
      <c r="E385" s="16">
        <v>13.099999999999934</v>
      </c>
      <c r="F385" s="16">
        <f t="shared" si="35"/>
        <v>1</v>
      </c>
      <c r="G385" s="16">
        <f t="shared" si="36"/>
        <v>1</v>
      </c>
      <c r="H385" s="16">
        <f t="shared" si="37"/>
        <v>1</v>
      </c>
      <c r="I385" s="22">
        <f t="shared" si="38"/>
        <v>2044.3534283599993</v>
      </c>
      <c r="J385" s="22">
        <f t="shared" si="39"/>
        <v>9611.1474504899506</v>
      </c>
      <c r="K385" s="22">
        <f t="shared" si="40"/>
        <v>67341.815064021212</v>
      </c>
    </row>
    <row r="386" spans="1:11" x14ac:dyDescent="0.2">
      <c r="A386" s="19">
        <v>46104</v>
      </c>
      <c r="B386" s="15">
        <v>3.8540000000000001</v>
      </c>
      <c r="C386" s="15">
        <v>4.3449999999999998</v>
      </c>
      <c r="D386" s="16">
        <v>-4.8000000000000043</v>
      </c>
      <c r="E386" s="16">
        <v>-3.6999999999999922</v>
      </c>
      <c r="F386" s="16">
        <f t="shared" si="35"/>
        <v>1</v>
      </c>
      <c r="G386" s="16">
        <f t="shared" si="36"/>
        <v>0</v>
      </c>
      <c r="H386" s="16">
        <f t="shared" si="37"/>
        <v>0</v>
      </c>
      <c r="I386" s="22">
        <f t="shared" si="38"/>
        <v>-901.95710976000066</v>
      </c>
      <c r="J386" s="22">
        <f t="shared" si="39"/>
        <v>-2736.0684027899947</v>
      </c>
      <c r="K386" s="22">
        <f t="shared" si="40"/>
        <v>-23970.300415919672</v>
      </c>
    </row>
    <row r="387" spans="1:11" x14ac:dyDescent="0.2">
      <c r="A387" s="19">
        <v>46105</v>
      </c>
      <c r="B387" s="15">
        <v>3.8919999999999999</v>
      </c>
      <c r="C387" s="15">
        <v>4.3639999999999999</v>
      </c>
      <c r="D387" s="16">
        <v>3.7999999999999812</v>
      </c>
      <c r="E387" s="16">
        <v>1.9000000000000128</v>
      </c>
      <c r="F387" s="16">
        <f t="shared" si="35"/>
        <v>0</v>
      </c>
      <c r="G387" s="16">
        <f t="shared" si="36"/>
        <v>0</v>
      </c>
      <c r="H387" s="16">
        <f t="shared" si="37"/>
        <v>0</v>
      </c>
      <c r="I387" s="22">
        <f t="shared" si="38"/>
        <v>713.31590863999645</v>
      </c>
      <c r="J387" s="22">
        <f t="shared" si="39"/>
        <v>1401.3331384900093</v>
      </c>
      <c r="K387" s="22">
        <f t="shared" si="40"/>
        <v>16047.280557432994</v>
      </c>
    </row>
    <row r="388" spans="1:11" x14ac:dyDescent="0.2">
      <c r="A388" s="19">
        <v>46106</v>
      </c>
      <c r="B388" s="15">
        <v>3.8879999999999999</v>
      </c>
      <c r="C388" s="15">
        <v>4.3339999999999996</v>
      </c>
      <c r="D388" s="16">
        <v>-0.40000000000000036</v>
      </c>
      <c r="E388" s="16">
        <v>-3.0000000000000249</v>
      </c>
      <c r="F388" s="16">
        <f t="shared" ref="F388:F451" si="41">IF(ABS(D388-$N$2)&gt;$N$3,1,0)</f>
        <v>0</v>
      </c>
      <c r="G388" s="16">
        <f t="shared" ref="G388:G451" si="42">IF(ABS(E388-$O$2)&gt;$O$3,1,0)</f>
        <v>0</v>
      </c>
      <c r="H388" s="16">
        <f t="shared" ref="H388:H451" si="43">IF(AND(F388=1,G388=1),1,0)</f>
        <v>0</v>
      </c>
      <c r="I388" s="22">
        <f t="shared" ref="I388:I451" si="44">(1000000/100)*($N$11*D388/100-0.5*$N$19*(D388/100)^2)</f>
        <v>-75.123591040000065</v>
      </c>
      <c r="J388" s="22">
        <f t="shared" ref="J388:J451" si="45">(1000000/100)*($O$11*E388/100-0.5*$O$19*(E388/100)^2)</f>
        <v>-2217.708519000018</v>
      </c>
      <c r="K388" s="22">
        <f t="shared" ref="K388:K451" si="46">($N$16/1000000)*I388+($O$16/1000000)*J388</f>
        <v>-9589.7160953792627</v>
      </c>
    </row>
    <row r="389" spans="1:11" x14ac:dyDescent="0.2">
      <c r="A389" s="19">
        <v>46107</v>
      </c>
      <c r="B389" s="15">
        <v>3.9870000000000001</v>
      </c>
      <c r="C389" s="15">
        <v>4.415</v>
      </c>
      <c r="D389" s="16">
        <v>9.9000000000000199</v>
      </c>
      <c r="E389" s="16">
        <v>8.1000000000000405</v>
      </c>
      <c r="F389" s="16">
        <f t="shared" si="41"/>
        <v>1</v>
      </c>
      <c r="G389" s="16">
        <f t="shared" si="42"/>
        <v>1</v>
      </c>
      <c r="H389" s="16">
        <f t="shared" si="43"/>
        <v>1</v>
      </c>
      <c r="I389" s="22">
        <f t="shared" si="44"/>
        <v>1857.0202635600035</v>
      </c>
      <c r="J389" s="22">
        <f t="shared" si="45"/>
        <v>5956.7588964900297</v>
      </c>
      <c r="K389" s="22">
        <f t="shared" si="46"/>
        <v>50586.528298309851</v>
      </c>
    </row>
    <row r="390" spans="1:11" x14ac:dyDescent="0.2">
      <c r="A390" s="19">
        <v>46108</v>
      </c>
      <c r="B390" s="15">
        <v>3.9129999999999998</v>
      </c>
      <c r="C390" s="15">
        <v>4.43</v>
      </c>
      <c r="D390" s="16">
        <v>-7.4000000000000288</v>
      </c>
      <c r="E390" s="16">
        <v>1.499999999999968</v>
      </c>
      <c r="F390" s="16">
        <f t="shared" si="41"/>
        <v>1</v>
      </c>
      <c r="G390" s="16">
        <f t="shared" si="42"/>
        <v>0</v>
      </c>
      <c r="H390" s="16">
        <f t="shared" si="43"/>
        <v>0</v>
      </c>
      <c r="I390" s="22">
        <f t="shared" si="44"/>
        <v>-1390.9490334400055</v>
      </c>
      <c r="J390" s="22">
        <f t="shared" si="45"/>
        <v>1106.5228702499764</v>
      </c>
      <c r="K390" s="22">
        <f t="shared" si="46"/>
        <v>-16641.701059044968</v>
      </c>
    </row>
    <row r="391" spans="1:11" x14ac:dyDescent="0.2">
      <c r="A391" s="19">
        <v>46111</v>
      </c>
      <c r="B391" s="15">
        <v>3.83</v>
      </c>
      <c r="C391" s="15">
        <v>4.3499999999999996</v>
      </c>
      <c r="D391" s="16">
        <v>-8.2999999999999741</v>
      </c>
      <c r="E391" s="16">
        <v>-8.0000000000000071</v>
      </c>
      <c r="F391" s="16">
        <f t="shared" si="41"/>
        <v>1</v>
      </c>
      <c r="G391" s="16">
        <f t="shared" si="42"/>
        <v>1</v>
      </c>
      <c r="H391" s="16">
        <f t="shared" si="43"/>
        <v>1</v>
      </c>
      <c r="I391" s="22">
        <f t="shared" si="44"/>
        <v>-1560.2861671599951</v>
      </c>
      <c r="J391" s="22">
        <f t="shared" si="45"/>
        <v>-5927.7050240000044</v>
      </c>
      <c r="K391" s="22">
        <f t="shared" si="46"/>
        <v>-46024.64614138531</v>
      </c>
    </row>
    <row r="392" spans="1:11" x14ac:dyDescent="0.2">
      <c r="A392" s="19">
        <v>46112</v>
      </c>
      <c r="B392" s="15">
        <v>3.7959999999999998</v>
      </c>
      <c r="C392" s="15">
        <v>4.319</v>
      </c>
      <c r="D392" s="16">
        <v>-3.4000000000000252</v>
      </c>
      <c r="E392" s="16">
        <v>-3.0999999999999694</v>
      </c>
      <c r="F392" s="16">
        <f t="shared" si="41"/>
        <v>0</v>
      </c>
      <c r="G392" s="16">
        <f t="shared" si="42"/>
        <v>0</v>
      </c>
      <c r="H392" s="16">
        <f t="shared" si="43"/>
        <v>0</v>
      </c>
      <c r="I392" s="22">
        <f t="shared" si="44"/>
        <v>-638.77945264000482</v>
      </c>
      <c r="J392" s="22">
        <f t="shared" si="45"/>
        <v>-2291.7392075099769</v>
      </c>
      <c r="K392" s="22">
        <f t="shared" si="46"/>
        <v>-18327.058014953102</v>
      </c>
    </row>
    <row r="393" spans="1:11" x14ac:dyDescent="0.2">
      <c r="A393" s="19">
        <v>46113</v>
      </c>
      <c r="B393" s="15">
        <v>3.8050000000000002</v>
      </c>
      <c r="C393" s="15">
        <v>4.32</v>
      </c>
      <c r="D393" s="16">
        <v>0.90000000000003411</v>
      </c>
      <c r="E393" s="16">
        <v>0.1000000000000334</v>
      </c>
      <c r="F393" s="16">
        <f t="shared" si="41"/>
        <v>0</v>
      </c>
      <c r="G393" s="16">
        <f t="shared" si="42"/>
        <v>0</v>
      </c>
      <c r="H393" s="16">
        <f t="shared" si="43"/>
        <v>0</v>
      </c>
      <c r="I393" s="22">
        <f t="shared" si="44"/>
        <v>169.00182036000641</v>
      </c>
      <c r="J393" s="22">
        <f t="shared" si="45"/>
        <v>73.816546090024659</v>
      </c>
      <c r="K393" s="22">
        <f t="shared" si="46"/>
        <v>2816.7141251448797</v>
      </c>
    </row>
    <row r="394" spans="1:11" x14ac:dyDescent="0.2">
      <c r="A394" s="19">
        <v>46114</v>
      </c>
      <c r="B394" s="15">
        <v>3.7989999999999999</v>
      </c>
      <c r="C394" s="15">
        <v>4.3070000000000004</v>
      </c>
      <c r="D394" s="16">
        <v>-0.60000000000002274</v>
      </c>
      <c r="E394" s="16">
        <v>-1.2999999999999901</v>
      </c>
      <c r="F394" s="16">
        <f t="shared" si="41"/>
        <v>0</v>
      </c>
      <c r="G394" s="16">
        <f t="shared" si="42"/>
        <v>0</v>
      </c>
      <c r="H394" s="16">
        <f t="shared" si="43"/>
        <v>0</v>
      </c>
      <c r="I394" s="22">
        <f t="shared" si="44"/>
        <v>-112.68807984000426</v>
      </c>
      <c r="J394" s="22">
        <f t="shared" si="45"/>
        <v>-960.24371078999263</v>
      </c>
      <c r="K394" s="22">
        <f t="shared" si="46"/>
        <v>-5354.6486607474617</v>
      </c>
    </row>
    <row r="395" spans="1:11" x14ac:dyDescent="0.2">
      <c r="A395" s="19">
        <v>46115</v>
      </c>
      <c r="B395" s="15">
        <v>3.843</v>
      </c>
      <c r="C395" s="15">
        <v>4.3460000000000001</v>
      </c>
      <c r="D395" s="16">
        <v>4.4000000000000039</v>
      </c>
      <c r="E395" s="16">
        <v>3.8999999999999702</v>
      </c>
      <c r="F395" s="16">
        <f t="shared" si="41"/>
        <v>0</v>
      </c>
      <c r="G395" s="16">
        <f t="shared" si="42"/>
        <v>0</v>
      </c>
      <c r="H395" s="16">
        <f t="shared" si="43"/>
        <v>0</v>
      </c>
      <c r="I395" s="22">
        <f t="shared" si="44"/>
        <v>825.8854841600006</v>
      </c>
      <c r="J395" s="22">
        <f t="shared" si="45"/>
        <v>2873.7266028899776</v>
      </c>
      <c r="K395" s="22">
        <f t="shared" si="46"/>
        <v>23354.535094073086</v>
      </c>
    </row>
    <row r="396" spans="1:11" x14ac:dyDescent="0.2">
      <c r="A396" s="19">
        <v>46118</v>
      </c>
      <c r="B396" s="15">
        <v>3.851</v>
      </c>
      <c r="C396" s="15">
        <v>4.3330000000000002</v>
      </c>
      <c r="D396" s="16">
        <v>0.80000000000000071</v>
      </c>
      <c r="E396" s="16">
        <v>-1.2999999999999901</v>
      </c>
      <c r="F396" s="16">
        <f t="shared" si="41"/>
        <v>0</v>
      </c>
      <c r="G396" s="16">
        <f t="shared" si="42"/>
        <v>0</v>
      </c>
      <c r="H396" s="16">
        <f t="shared" si="43"/>
        <v>0</v>
      </c>
      <c r="I396" s="22">
        <f t="shared" si="44"/>
        <v>150.22563584000014</v>
      </c>
      <c r="J396" s="22">
        <f t="shared" si="45"/>
        <v>-960.24371078999263</v>
      </c>
      <c r="K396" s="22">
        <f t="shared" si="46"/>
        <v>-1410.9429255473956</v>
      </c>
    </row>
    <row r="397" spans="1:11" x14ac:dyDescent="0.2">
      <c r="A397" s="19">
        <v>46119</v>
      </c>
      <c r="B397" s="15">
        <v>3.79</v>
      </c>
      <c r="C397" s="15">
        <v>4.2949999999999999</v>
      </c>
      <c r="D397" s="16">
        <v>-6.0999999999999943</v>
      </c>
      <c r="E397" s="16">
        <v>-3.8000000000000256</v>
      </c>
      <c r="F397" s="16">
        <f t="shared" si="41"/>
        <v>1</v>
      </c>
      <c r="G397" s="16">
        <f t="shared" si="42"/>
        <v>0</v>
      </c>
      <c r="H397" s="16">
        <f t="shared" si="43"/>
        <v>0</v>
      </c>
      <c r="I397" s="22">
        <f t="shared" si="44"/>
        <v>-1146.415141239999</v>
      </c>
      <c r="J397" s="22">
        <f t="shared" si="45"/>
        <v>-2810.1474460400191</v>
      </c>
      <c r="K397" s="22">
        <f t="shared" si="46"/>
        <v>-27919.859407268006</v>
      </c>
    </row>
    <row r="398" spans="1:11" x14ac:dyDescent="0.2">
      <c r="A398" s="19">
        <v>46120</v>
      </c>
      <c r="B398" s="15">
        <v>3.7890000000000001</v>
      </c>
      <c r="C398" s="15">
        <v>4.2930000000000001</v>
      </c>
      <c r="D398" s="16">
        <v>-9.9999999999988987E-2</v>
      </c>
      <c r="E398" s="16">
        <v>-0.19999999999997797</v>
      </c>
      <c r="F398" s="16">
        <f t="shared" si="41"/>
        <v>0</v>
      </c>
      <c r="G398" s="16">
        <f t="shared" si="42"/>
        <v>0</v>
      </c>
      <c r="H398" s="16">
        <f t="shared" si="43"/>
        <v>0</v>
      </c>
      <c r="I398" s="22">
        <f t="shared" si="44"/>
        <v>-18.780224439997934</v>
      </c>
      <c r="J398" s="22">
        <f t="shared" si="45"/>
        <v>-147.65381563998375</v>
      </c>
      <c r="K398" s="22">
        <f t="shared" si="46"/>
        <v>-845.15608762114789</v>
      </c>
    </row>
    <row r="399" spans="1:11" x14ac:dyDescent="0.2">
      <c r="A399" s="19">
        <v>46121</v>
      </c>
      <c r="B399" s="15">
        <v>3.7709999999999999</v>
      </c>
      <c r="C399" s="15">
        <v>4.2759999999999998</v>
      </c>
      <c r="D399" s="16">
        <v>-1.8000000000000238</v>
      </c>
      <c r="E399" s="16">
        <v>-1.7000000000000348</v>
      </c>
      <c r="F399" s="16">
        <f t="shared" si="41"/>
        <v>0</v>
      </c>
      <c r="G399" s="16">
        <f t="shared" si="42"/>
        <v>0</v>
      </c>
      <c r="H399" s="16">
        <f t="shared" si="43"/>
        <v>0</v>
      </c>
      <c r="I399" s="22">
        <f t="shared" si="44"/>
        <v>-338.11271856000445</v>
      </c>
      <c r="J399" s="22">
        <f t="shared" si="45"/>
        <v>-1255.9381799900254</v>
      </c>
      <c r="K399" s="22">
        <f t="shared" si="46"/>
        <v>-9864.3998721848147</v>
      </c>
    </row>
    <row r="400" spans="1:11" x14ac:dyDescent="0.2">
      <c r="A400" s="19">
        <v>46122</v>
      </c>
      <c r="B400" s="15">
        <v>3.798</v>
      </c>
      <c r="C400" s="15">
        <v>4.319</v>
      </c>
      <c r="D400" s="16">
        <v>2.7000000000000135</v>
      </c>
      <c r="E400" s="16">
        <v>4.3000000000000149</v>
      </c>
      <c r="F400" s="16">
        <f t="shared" si="41"/>
        <v>0</v>
      </c>
      <c r="G400" s="16">
        <f t="shared" si="42"/>
        <v>0</v>
      </c>
      <c r="H400" s="16">
        <f t="shared" si="43"/>
        <v>0</v>
      </c>
      <c r="I400" s="22">
        <f t="shared" si="44"/>
        <v>506.89638324000248</v>
      </c>
      <c r="J400" s="22">
        <f t="shared" si="45"/>
        <v>3167.8737204100112</v>
      </c>
      <c r="K400" s="22">
        <f t="shared" si="46"/>
        <v>19692.175456531491</v>
      </c>
    </row>
    <row r="401" spans="1:11" x14ac:dyDescent="0.2">
      <c r="A401" s="19">
        <v>46125</v>
      </c>
      <c r="B401" s="15">
        <v>3.7749999999999999</v>
      </c>
      <c r="C401" s="15">
        <v>4.2939999999999996</v>
      </c>
      <c r="D401" s="16">
        <v>-2.3000000000000131</v>
      </c>
      <c r="E401" s="16">
        <v>-2.5000000000000355</v>
      </c>
      <c r="F401" s="16">
        <f t="shared" si="41"/>
        <v>0</v>
      </c>
      <c r="G401" s="16">
        <f t="shared" si="42"/>
        <v>0</v>
      </c>
      <c r="H401" s="16">
        <f t="shared" si="43"/>
        <v>0</v>
      </c>
      <c r="I401" s="22">
        <f t="shared" si="44"/>
        <v>-432.05872876000245</v>
      </c>
      <c r="J401" s="22">
        <f t="shared" si="45"/>
        <v>-1847.658693750026</v>
      </c>
      <c r="K401" s="22">
        <f t="shared" si="46"/>
        <v>-13531.618590969019</v>
      </c>
    </row>
    <row r="402" spans="1:11" x14ac:dyDescent="0.2">
      <c r="A402" s="19">
        <v>46126</v>
      </c>
      <c r="B402" s="15">
        <v>3.7469999999999999</v>
      </c>
      <c r="C402" s="15">
        <v>4.2489999999999997</v>
      </c>
      <c r="D402" s="16">
        <v>-2.8000000000000025</v>
      </c>
      <c r="E402" s="16">
        <v>-4.4999999999999929</v>
      </c>
      <c r="F402" s="16">
        <f t="shared" si="41"/>
        <v>0</v>
      </c>
      <c r="G402" s="16">
        <f t="shared" si="42"/>
        <v>0</v>
      </c>
      <c r="H402" s="16">
        <f t="shared" si="43"/>
        <v>0</v>
      </c>
      <c r="I402" s="22">
        <f t="shared" si="44"/>
        <v>-526.01596096000048</v>
      </c>
      <c r="J402" s="22">
        <f t="shared" si="45"/>
        <v>-3328.8941677499943</v>
      </c>
      <c r="K402" s="22">
        <f t="shared" si="46"/>
        <v>-20593.429431403169</v>
      </c>
    </row>
    <row r="403" spans="1:11" x14ac:dyDescent="0.2">
      <c r="A403" s="19">
        <v>46127</v>
      </c>
      <c r="B403" s="15">
        <v>3.7650000000000001</v>
      </c>
      <c r="C403" s="15">
        <v>4.2850000000000001</v>
      </c>
      <c r="D403" s="16">
        <v>1.8000000000000238</v>
      </c>
      <c r="E403" s="16">
        <v>3.6000000000000476</v>
      </c>
      <c r="F403" s="16">
        <f t="shared" si="41"/>
        <v>0</v>
      </c>
      <c r="G403" s="16">
        <f t="shared" si="42"/>
        <v>0</v>
      </c>
      <c r="H403" s="16">
        <f t="shared" si="43"/>
        <v>0</v>
      </c>
      <c r="I403" s="22">
        <f t="shared" si="44"/>
        <v>337.9672814400044</v>
      </c>
      <c r="J403" s="22">
        <f t="shared" si="45"/>
        <v>2653.0437326400347</v>
      </c>
      <c r="K403" s="22">
        <f t="shared" si="46"/>
        <v>15193.627610718158</v>
      </c>
    </row>
    <row r="404" spans="1:11" x14ac:dyDescent="0.2">
      <c r="A404" s="19">
        <v>46128</v>
      </c>
      <c r="B404" s="15">
        <v>3.778</v>
      </c>
      <c r="C404" s="15">
        <v>4.3129999999999997</v>
      </c>
      <c r="D404" s="16">
        <v>1.2999999999999901</v>
      </c>
      <c r="E404" s="16">
        <v>2.7999999999999581</v>
      </c>
      <c r="F404" s="16">
        <f t="shared" si="41"/>
        <v>0</v>
      </c>
      <c r="G404" s="16">
        <f t="shared" si="42"/>
        <v>0</v>
      </c>
      <c r="H404" s="16">
        <f t="shared" si="43"/>
        <v>0</v>
      </c>
      <c r="I404" s="22">
        <f t="shared" si="44"/>
        <v>244.10206963999812</v>
      </c>
      <c r="J404" s="22">
        <f t="shared" si="45"/>
        <v>2064.2521345599694</v>
      </c>
      <c r="K404" s="22">
        <f t="shared" si="46"/>
        <v>11538.797724436647</v>
      </c>
    </row>
    <row r="405" spans="1:11" x14ac:dyDescent="0.2">
      <c r="A405" s="19">
        <v>46129</v>
      </c>
      <c r="B405" s="15">
        <v>3.7090000000000001</v>
      </c>
      <c r="C405" s="15">
        <v>4.25</v>
      </c>
      <c r="D405" s="16">
        <v>-6.899999999999995</v>
      </c>
      <c r="E405" s="16">
        <v>-6.2999999999999723</v>
      </c>
      <c r="F405" s="16">
        <f t="shared" si="41"/>
        <v>1</v>
      </c>
      <c r="G405" s="16">
        <f t="shared" si="42"/>
        <v>1</v>
      </c>
      <c r="H405" s="16">
        <f t="shared" si="43"/>
        <v>1</v>
      </c>
      <c r="I405" s="22">
        <f t="shared" si="44"/>
        <v>-1296.888558839999</v>
      </c>
      <c r="J405" s="22">
        <f t="shared" si="45"/>
        <v>-4664.3685687899797</v>
      </c>
      <c r="K405" s="22">
        <f t="shared" si="46"/>
        <v>-37252.740815926139</v>
      </c>
    </row>
    <row r="406" spans="1:11" x14ac:dyDescent="0.2">
      <c r="A406" s="19">
        <v>46132</v>
      </c>
      <c r="B406" s="15">
        <v>3.7240000000000002</v>
      </c>
      <c r="C406" s="15">
        <v>4.2519999999999998</v>
      </c>
      <c r="D406" s="16">
        <v>1.5000000000000124</v>
      </c>
      <c r="E406" s="16">
        <v>0.19999999999997797</v>
      </c>
      <c r="F406" s="16">
        <f t="shared" si="41"/>
        <v>0</v>
      </c>
      <c r="G406" s="16">
        <f t="shared" si="42"/>
        <v>0</v>
      </c>
      <c r="H406" s="16">
        <f t="shared" si="43"/>
        <v>0</v>
      </c>
      <c r="I406" s="22">
        <f t="shared" si="44"/>
        <v>281.64950100000232</v>
      </c>
      <c r="J406" s="22">
        <f t="shared" si="45"/>
        <v>147.62618435998374</v>
      </c>
      <c r="K406" s="22">
        <f t="shared" si="46"/>
        <v>4788.0897939787319</v>
      </c>
    </row>
    <row r="407" spans="1:11" x14ac:dyDescent="0.2">
      <c r="A407" s="19">
        <v>46133</v>
      </c>
      <c r="B407" s="15">
        <v>3.782</v>
      </c>
      <c r="C407" s="15">
        <v>4.2930000000000001</v>
      </c>
      <c r="D407" s="16">
        <v>5.7999999999999829</v>
      </c>
      <c r="E407" s="16">
        <v>4.1000000000000369</v>
      </c>
      <c r="F407" s="16">
        <f t="shared" si="41"/>
        <v>1</v>
      </c>
      <c r="G407" s="16">
        <f t="shared" si="42"/>
        <v>0</v>
      </c>
      <c r="H407" s="16">
        <f t="shared" si="43"/>
        <v>0</v>
      </c>
      <c r="I407" s="22">
        <f t="shared" si="44"/>
        <v>1088.4849838399966</v>
      </c>
      <c r="J407" s="22">
        <f t="shared" si="45"/>
        <v>3020.8139772900272</v>
      </c>
      <c r="K407" s="22">
        <f t="shared" si="46"/>
        <v>27854.818748423582</v>
      </c>
    </row>
    <row r="408" spans="1:11" x14ac:dyDescent="0.2">
      <c r="A408" s="19">
        <v>46134</v>
      </c>
      <c r="B408" s="15">
        <v>3.8010000000000002</v>
      </c>
      <c r="C408" s="15">
        <v>4.3029999999999999</v>
      </c>
      <c r="D408" s="16">
        <v>1.9000000000000128</v>
      </c>
      <c r="E408" s="16">
        <v>0.99999999999997868</v>
      </c>
      <c r="F408" s="16">
        <f t="shared" si="41"/>
        <v>0</v>
      </c>
      <c r="G408" s="16">
        <f t="shared" si="42"/>
        <v>0</v>
      </c>
      <c r="H408" s="16">
        <f t="shared" si="43"/>
        <v>0</v>
      </c>
      <c r="I408" s="22">
        <f t="shared" si="44"/>
        <v>356.73897716000243</v>
      </c>
      <c r="J408" s="22">
        <f t="shared" si="45"/>
        <v>737.85460899998429</v>
      </c>
      <c r="K408" s="22">
        <f t="shared" si="46"/>
        <v>8166.7666318689544</v>
      </c>
    </row>
    <row r="409" spans="1:11" x14ac:dyDescent="0.2">
      <c r="A409" s="19">
        <v>46135</v>
      </c>
      <c r="B409" s="15">
        <v>3.8370000000000002</v>
      </c>
      <c r="C409" s="15">
        <v>4.3259999999999996</v>
      </c>
      <c r="D409" s="16">
        <v>3.6000000000000032</v>
      </c>
      <c r="E409" s="16">
        <v>2.2999999999999687</v>
      </c>
      <c r="F409" s="16">
        <f t="shared" si="41"/>
        <v>0</v>
      </c>
      <c r="G409" s="16">
        <f t="shared" si="42"/>
        <v>0</v>
      </c>
      <c r="H409" s="16">
        <f t="shared" si="43"/>
        <v>0</v>
      </c>
      <c r="I409" s="22">
        <f t="shared" si="44"/>
        <v>675.78912576000062</v>
      </c>
      <c r="J409" s="22">
        <f t="shared" si="45"/>
        <v>1696.032881609977</v>
      </c>
      <c r="K409" s="22">
        <f t="shared" si="46"/>
        <v>16608.964531340818</v>
      </c>
    </row>
    <row r="410" spans="1:11" x14ac:dyDescent="0.2">
      <c r="A410" s="19">
        <v>46136</v>
      </c>
      <c r="B410" s="15">
        <v>3.78</v>
      </c>
      <c r="C410" s="15">
        <v>4.3019999999999996</v>
      </c>
      <c r="D410" s="16">
        <v>-5.7000000000000384</v>
      </c>
      <c r="E410" s="16">
        <v>-2.4000000000000021</v>
      </c>
      <c r="F410" s="16">
        <f t="shared" si="41"/>
        <v>1</v>
      </c>
      <c r="G410" s="16">
        <f t="shared" si="42"/>
        <v>0</v>
      </c>
      <c r="H410" s="16">
        <f t="shared" si="43"/>
        <v>0</v>
      </c>
      <c r="I410" s="22">
        <f t="shared" si="44"/>
        <v>-1071.1892055600072</v>
      </c>
      <c r="J410" s="22">
        <f t="shared" si="45"/>
        <v>-1773.6694521600014</v>
      </c>
      <c r="K410" s="22">
        <f t="shared" si="46"/>
        <v>-22836.229910458795</v>
      </c>
    </row>
    <row r="411" spans="1:11" x14ac:dyDescent="0.2">
      <c r="A411" s="19">
        <v>46139</v>
      </c>
      <c r="B411" s="15">
        <v>3.7989999999999999</v>
      </c>
      <c r="C411" s="15">
        <v>4.3410000000000002</v>
      </c>
      <c r="D411" s="16">
        <v>1.9000000000000128</v>
      </c>
      <c r="E411" s="16">
        <v>3.900000000000059</v>
      </c>
      <c r="F411" s="16">
        <f t="shared" si="41"/>
        <v>0</v>
      </c>
      <c r="G411" s="16">
        <f t="shared" si="42"/>
        <v>0</v>
      </c>
      <c r="H411" s="16">
        <f t="shared" si="43"/>
        <v>0</v>
      </c>
      <c r="I411" s="22">
        <f t="shared" si="44"/>
        <v>356.73897716000243</v>
      </c>
      <c r="J411" s="22">
        <f t="shared" si="45"/>
        <v>2873.7266028900431</v>
      </c>
      <c r="K411" s="22">
        <f t="shared" si="46"/>
        <v>16317.337489073365</v>
      </c>
    </row>
    <row r="412" spans="1:11" x14ac:dyDescent="0.2">
      <c r="A412" s="19">
        <v>46140</v>
      </c>
      <c r="B412" s="15">
        <v>3.8370000000000002</v>
      </c>
      <c r="C412" s="15">
        <v>4.3470000000000004</v>
      </c>
      <c r="D412" s="16">
        <v>3.8000000000000256</v>
      </c>
      <c r="E412" s="16">
        <v>0.60000000000002274</v>
      </c>
      <c r="F412" s="16">
        <f t="shared" si="41"/>
        <v>0</v>
      </c>
      <c r="G412" s="16">
        <f t="shared" si="42"/>
        <v>0</v>
      </c>
      <c r="H412" s="16">
        <f t="shared" si="43"/>
        <v>0</v>
      </c>
      <c r="I412" s="22">
        <f t="shared" si="44"/>
        <v>713.31590864000486</v>
      </c>
      <c r="J412" s="22">
        <f t="shared" si="45"/>
        <v>442.79565924001673</v>
      </c>
      <c r="K412" s="22">
        <f t="shared" si="46"/>
        <v>12389.464140408969</v>
      </c>
    </row>
    <row r="413" spans="1:11" x14ac:dyDescent="0.2">
      <c r="A413" s="19">
        <v>46141</v>
      </c>
      <c r="B413" s="15">
        <v>3.95</v>
      </c>
      <c r="C413" s="15">
        <v>4.431</v>
      </c>
      <c r="D413" s="16">
        <v>11.299999999999999</v>
      </c>
      <c r="E413" s="16">
        <v>8.3999999999999631</v>
      </c>
      <c r="F413" s="16">
        <f t="shared" si="41"/>
        <v>1</v>
      </c>
      <c r="G413" s="16">
        <f t="shared" si="42"/>
        <v>1</v>
      </c>
      <c r="H413" s="16">
        <f t="shared" si="43"/>
        <v>1</v>
      </c>
      <c r="I413" s="22">
        <f t="shared" si="44"/>
        <v>2119.2741256399995</v>
      </c>
      <c r="J413" s="22">
        <f t="shared" si="45"/>
        <v>6176.5092110399719</v>
      </c>
      <c r="K413" s="22">
        <f t="shared" si="46"/>
        <v>55358.912003131016</v>
      </c>
    </row>
    <row r="414" spans="1:11" x14ac:dyDescent="0.2">
      <c r="A414" s="19">
        <v>46142</v>
      </c>
      <c r="B414" s="15">
        <v>3.8719999999999999</v>
      </c>
      <c r="C414" s="15">
        <v>4.3719999999999999</v>
      </c>
      <c r="D414" s="16">
        <v>-7.8000000000000291</v>
      </c>
      <c r="E414" s="16">
        <v>-5.9000000000000163</v>
      </c>
      <c r="F414" s="16">
        <f t="shared" si="41"/>
        <v>1</v>
      </c>
      <c r="G414" s="16">
        <f t="shared" si="42"/>
        <v>1</v>
      </c>
      <c r="H414" s="16">
        <f t="shared" si="43"/>
        <v>1</v>
      </c>
      <c r="I414" s="22">
        <f t="shared" si="44"/>
        <v>-1466.2054929600051</v>
      </c>
      <c r="J414" s="22">
        <f t="shared" si="45"/>
        <v>-4367.4030607100121</v>
      </c>
      <c r="K414" s="22">
        <f t="shared" si="46"/>
        <v>-38659.26286313498</v>
      </c>
    </row>
    <row r="415" spans="1:11" x14ac:dyDescent="0.2">
      <c r="A415" s="19">
        <v>46143</v>
      </c>
      <c r="B415" s="15">
        <v>3.88</v>
      </c>
      <c r="C415" s="15">
        <v>4.3710000000000004</v>
      </c>
      <c r="D415" s="16">
        <v>0.80000000000000071</v>
      </c>
      <c r="E415" s="16">
        <v>-9.9999999999944578E-2</v>
      </c>
      <c r="F415" s="16">
        <f t="shared" si="41"/>
        <v>0</v>
      </c>
      <c r="G415" s="16">
        <f t="shared" si="42"/>
        <v>0</v>
      </c>
      <c r="H415" s="16">
        <f t="shared" si="43"/>
        <v>0</v>
      </c>
      <c r="I415" s="22">
        <f t="shared" si="44"/>
        <v>150.22563584000014</v>
      </c>
      <c r="J415" s="22">
        <f t="shared" si="45"/>
        <v>-73.823453909959071</v>
      </c>
      <c r="K415" s="22">
        <f t="shared" si="46"/>
        <v>1971.6713573448483</v>
      </c>
    </row>
    <row r="416" spans="1:11" x14ac:dyDescent="0.2">
      <c r="A416" s="19">
        <v>46146</v>
      </c>
      <c r="B416" s="15">
        <v>3.9540000000000002</v>
      </c>
      <c r="C416" s="15">
        <v>4.4390000000000001</v>
      </c>
      <c r="D416" s="16">
        <v>7.4000000000000288</v>
      </c>
      <c r="E416" s="16">
        <v>6.7999999999999616</v>
      </c>
      <c r="F416" s="16">
        <f t="shared" si="41"/>
        <v>1</v>
      </c>
      <c r="G416" s="16">
        <f t="shared" si="42"/>
        <v>1</v>
      </c>
      <c r="H416" s="16">
        <f t="shared" si="43"/>
        <v>1</v>
      </c>
      <c r="I416" s="22">
        <f t="shared" si="44"/>
        <v>1388.4909665600053</v>
      </c>
      <c r="J416" s="22">
        <f t="shared" si="45"/>
        <v>5003.7891201599723</v>
      </c>
      <c r="K416" s="22">
        <f t="shared" si="46"/>
        <v>39922.018997845546</v>
      </c>
    </row>
    <row r="417" spans="1:11" x14ac:dyDescent="0.2">
      <c r="A417" s="19">
        <v>46147</v>
      </c>
      <c r="B417" s="15">
        <v>3.9430000000000001</v>
      </c>
      <c r="C417" s="15">
        <v>4.4249999999999998</v>
      </c>
      <c r="D417" s="16">
        <v>-1.1000000000000121</v>
      </c>
      <c r="E417" s="16">
        <v>-1.4000000000000234</v>
      </c>
      <c r="F417" s="16">
        <f t="shared" si="41"/>
        <v>0</v>
      </c>
      <c r="G417" s="16">
        <f t="shared" si="42"/>
        <v>0</v>
      </c>
      <c r="H417" s="16">
        <f t="shared" si="43"/>
        <v>0</v>
      </c>
      <c r="I417" s="22">
        <f t="shared" si="44"/>
        <v>-206.60715724000224</v>
      </c>
      <c r="J417" s="22">
        <f t="shared" si="45"/>
        <v>-1034.1569663600173</v>
      </c>
      <c r="K417" s="22">
        <f t="shared" si="46"/>
        <v>-7045.4906886409008</v>
      </c>
    </row>
    <row r="418" spans="1:11" x14ac:dyDescent="0.2">
      <c r="A418" s="19">
        <v>46148</v>
      </c>
      <c r="B418" s="15">
        <v>3.8660000000000001</v>
      </c>
      <c r="C418" s="15">
        <v>4.3490000000000002</v>
      </c>
      <c r="D418" s="16">
        <v>-7.6999999999999957</v>
      </c>
      <c r="E418" s="16">
        <v>-7.5999999999999623</v>
      </c>
      <c r="F418" s="16">
        <f t="shared" si="41"/>
        <v>1</v>
      </c>
      <c r="G418" s="16">
        <f t="shared" si="42"/>
        <v>1</v>
      </c>
      <c r="H418" s="16">
        <f t="shared" si="43"/>
        <v>1</v>
      </c>
      <c r="I418" s="22">
        <f t="shared" si="44"/>
        <v>-1447.3907047599989</v>
      </c>
      <c r="J418" s="22">
        <f t="shared" si="45"/>
        <v>-5630.2697841599711</v>
      </c>
      <c r="K418" s="22">
        <f t="shared" si="46"/>
        <v>-43196.189726071665</v>
      </c>
    </row>
    <row r="419" spans="1:11" x14ac:dyDescent="0.2">
      <c r="A419" s="19">
        <v>46149</v>
      </c>
      <c r="B419" s="15">
        <v>3.9119999999999999</v>
      </c>
      <c r="C419" s="15">
        <v>4.3869999999999996</v>
      </c>
      <c r="D419" s="16">
        <v>4.5999999999999819</v>
      </c>
      <c r="E419" s="16">
        <v>3.7999999999999368</v>
      </c>
      <c r="F419" s="16">
        <f t="shared" si="41"/>
        <v>0</v>
      </c>
      <c r="G419" s="16">
        <f t="shared" si="42"/>
        <v>0</v>
      </c>
      <c r="H419" s="16">
        <f t="shared" si="43"/>
        <v>0</v>
      </c>
      <c r="I419" s="22">
        <f t="shared" si="44"/>
        <v>863.40508495999654</v>
      </c>
      <c r="J419" s="22">
        <f t="shared" si="45"/>
        <v>2800.1725539599538</v>
      </c>
      <c r="K419" s="22">
        <f t="shared" si="46"/>
        <v>23636.643985731822</v>
      </c>
    </row>
    <row r="420" spans="1:11" x14ac:dyDescent="0.2">
      <c r="A420" s="19">
        <v>46150</v>
      </c>
      <c r="B420" s="15">
        <v>3.8860000000000001</v>
      </c>
      <c r="C420" s="15">
        <v>4.3550000000000004</v>
      </c>
      <c r="D420" s="16">
        <v>-2.5999999999999801</v>
      </c>
      <c r="E420" s="16">
        <v>-3.199999999999914</v>
      </c>
      <c r="F420" s="16">
        <f t="shared" si="41"/>
        <v>0</v>
      </c>
      <c r="G420" s="16">
        <f t="shared" si="42"/>
        <v>0</v>
      </c>
      <c r="H420" s="16">
        <f t="shared" si="43"/>
        <v>0</v>
      </c>
      <c r="I420" s="22">
        <f t="shared" si="44"/>
        <v>-488.43172143999624</v>
      </c>
      <c r="J420" s="22">
        <f t="shared" si="45"/>
        <v>-2365.7768038399363</v>
      </c>
      <c r="K420" s="22">
        <f t="shared" si="46"/>
        <v>-16354.37240303736</v>
      </c>
    </row>
    <row r="421" spans="1:11" x14ac:dyDescent="0.2">
      <c r="A421" s="19">
        <v>46153</v>
      </c>
      <c r="B421" s="15">
        <v>3.9550000000000001</v>
      </c>
      <c r="C421" s="15">
        <v>4.4139999999999997</v>
      </c>
      <c r="D421" s="16">
        <v>6.899999999999995</v>
      </c>
      <c r="E421" s="16">
        <v>5.8999999999999275</v>
      </c>
      <c r="F421" s="16">
        <f t="shared" si="41"/>
        <v>1</v>
      </c>
      <c r="G421" s="16">
        <f t="shared" si="42"/>
        <v>1</v>
      </c>
      <c r="H421" s="16">
        <f t="shared" si="43"/>
        <v>1</v>
      </c>
      <c r="I421" s="22">
        <f t="shared" si="44"/>
        <v>1294.7514411599989</v>
      </c>
      <c r="J421" s="22">
        <f t="shared" si="45"/>
        <v>4343.3569392899471</v>
      </c>
      <c r="K421" s="22">
        <f t="shared" si="46"/>
        <v>35995.691148664926</v>
      </c>
    </row>
    <row r="422" spans="1:11" x14ac:dyDescent="0.2">
      <c r="A422" s="19">
        <v>46154</v>
      </c>
      <c r="B422" s="15">
        <v>3.992</v>
      </c>
      <c r="C422" s="15">
        <v>4.4630000000000001</v>
      </c>
      <c r="D422" s="16">
        <v>3.6999999999999922</v>
      </c>
      <c r="E422" s="16">
        <v>4.9000000000000377</v>
      </c>
      <c r="F422" s="16">
        <f t="shared" si="41"/>
        <v>0</v>
      </c>
      <c r="G422" s="16">
        <f t="shared" si="42"/>
        <v>0</v>
      </c>
      <c r="H422" s="16">
        <f t="shared" si="43"/>
        <v>0</v>
      </c>
      <c r="I422" s="22">
        <f t="shared" si="44"/>
        <v>694.55274163999854</v>
      </c>
      <c r="J422" s="22">
        <f t="shared" si="45"/>
        <v>3608.8871620900277</v>
      </c>
      <c r="K422" s="22">
        <f t="shared" si="46"/>
        <v>24189.945331600262</v>
      </c>
    </row>
    <row r="423" spans="1:11" x14ac:dyDescent="0.2">
      <c r="A423" s="19">
        <v>46155</v>
      </c>
      <c r="B423" s="15">
        <v>3.9809999999999999</v>
      </c>
      <c r="C423" s="15">
        <v>4.4690000000000003</v>
      </c>
      <c r="D423" s="16">
        <v>-1.1000000000000121</v>
      </c>
      <c r="E423" s="16">
        <v>0.60000000000002274</v>
      </c>
      <c r="F423" s="16">
        <f t="shared" si="41"/>
        <v>0</v>
      </c>
      <c r="G423" s="16">
        <f t="shared" si="42"/>
        <v>0</v>
      </c>
      <c r="H423" s="16">
        <f t="shared" si="43"/>
        <v>0</v>
      </c>
      <c r="I423" s="22">
        <f t="shared" si="44"/>
        <v>-206.60715724000224</v>
      </c>
      <c r="J423" s="22">
        <f t="shared" si="45"/>
        <v>442.79565924001673</v>
      </c>
      <c r="K423" s="22">
        <f t="shared" si="46"/>
        <v>-1409.3818477911375</v>
      </c>
    </row>
    <row r="424" spans="1:11" x14ac:dyDescent="0.2">
      <c r="A424" s="19">
        <v>46156</v>
      </c>
      <c r="B424" s="15">
        <v>4.0199999999999996</v>
      </c>
      <c r="C424" s="15">
        <v>4.4829999999999997</v>
      </c>
      <c r="D424" s="16">
        <v>3.8999999999999702</v>
      </c>
      <c r="E424" s="16">
        <v>1.3999999999999346</v>
      </c>
      <c r="F424" s="16">
        <f t="shared" si="41"/>
        <v>0</v>
      </c>
      <c r="G424" s="16">
        <f t="shared" si="42"/>
        <v>0</v>
      </c>
      <c r="H424" s="16">
        <f t="shared" si="43"/>
        <v>0</v>
      </c>
      <c r="I424" s="22">
        <f t="shared" si="44"/>
        <v>732.07862675999434</v>
      </c>
      <c r="J424" s="22">
        <f t="shared" si="45"/>
        <v>1032.8030336399518</v>
      </c>
      <c r="K424" s="22">
        <f t="shared" si="46"/>
        <v>14922.396071358929</v>
      </c>
    </row>
    <row r="425" spans="1:11" x14ac:dyDescent="0.2">
      <c r="A425" s="19">
        <v>46157</v>
      </c>
      <c r="B425" s="15">
        <v>4.0720000000000001</v>
      </c>
      <c r="C425" s="15">
        <v>4.5940000000000003</v>
      </c>
      <c r="D425" s="16">
        <v>5.200000000000049</v>
      </c>
      <c r="E425" s="16">
        <v>11.100000000000065</v>
      </c>
      <c r="F425" s="16">
        <f t="shared" si="41"/>
        <v>1</v>
      </c>
      <c r="G425" s="16">
        <f t="shared" si="42"/>
        <v>1</v>
      </c>
      <c r="H425" s="16">
        <f t="shared" si="43"/>
        <v>1</v>
      </c>
      <c r="I425" s="22">
        <f t="shared" si="44"/>
        <v>975.95311424000909</v>
      </c>
      <c r="J425" s="22">
        <f t="shared" si="45"/>
        <v>8151.4643748900471</v>
      </c>
      <c r="K425" s="22">
        <f t="shared" si="46"/>
        <v>45745.60278792317</v>
      </c>
    </row>
    <row r="426" spans="1:11" x14ac:dyDescent="0.2">
      <c r="A426" s="19">
        <v>46160</v>
      </c>
      <c r="B426" s="15">
        <v>4.0460000000000003</v>
      </c>
      <c r="C426" s="15">
        <v>4.5880000000000001</v>
      </c>
      <c r="D426" s="16">
        <v>-2.5999999999999801</v>
      </c>
      <c r="E426" s="16">
        <v>-0.60000000000002274</v>
      </c>
      <c r="F426" s="16">
        <f t="shared" si="41"/>
        <v>0</v>
      </c>
      <c r="G426" s="16">
        <f t="shared" si="42"/>
        <v>0</v>
      </c>
      <c r="H426" s="16">
        <f t="shared" si="43"/>
        <v>0</v>
      </c>
      <c r="I426" s="22">
        <f t="shared" si="44"/>
        <v>-488.43172143999624</v>
      </c>
      <c r="J426" s="22">
        <f t="shared" si="45"/>
        <v>-443.04434076001678</v>
      </c>
      <c r="K426" s="22">
        <f t="shared" si="46"/>
        <v>-9017.1503107911758</v>
      </c>
    </row>
    <row r="427" spans="1:11" x14ac:dyDescent="0.2">
      <c r="A427" s="19">
        <v>46161</v>
      </c>
      <c r="B427" s="15">
        <v>4.12</v>
      </c>
      <c r="C427" s="15">
        <v>4.6669999999999998</v>
      </c>
      <c r="D427" s="16">
        <v>7.3999999999999844</v>
      </c>
      <c r="E427" s="16">
        <v>7.8999999999999737</v>
      </c>
      <c r="F427" s="16">
        <f t="shared" si="41"/>
        <v>1</v>
      </c>
      <c r="G427" s="16">
        <f t="shared" si="42"/>
        <v>1</v>
      </c>
      <c r="H427" s="16">
        <f t="shared" si="43"/>
        <v>1</v>
      </c>
      <c r="I427" s="22">
        <f t="shared" si="44"/>
        <v>1388.4909665599971</v>
      </c>
      <c r="J427" s="22">
        <f t="shared" si="45"/>
        <v>5810.2241476899808</v>
      </c>
      <c r="K427" s="22">
        <f t="shared" si="46"/>
        <v>42999.406525008832</v>
      </c>
    </row>
    <row r="428" spans="1:11" x14ac:dyDescent="0.2">
      <c r="A428" s="19">
        <v>46162</v>
      </c>
      <c r="B428" s="15">
        <v>4.056</v>
      </c>
      <c r="C428" s="15">
        <v>4.5860000000000003</v>
      </c>
      <c r="D428" s="16">
        <v>-6.4000000000000057</v>
      </c>
      <c r="E428" s="16">
        <v>-8.0999999999999517</v>
      </c>
      <c r="F428" s="16">
        <f t="shared" si="41"/>
        <v>1</v>
      </c>
      <c r="G428" s="16">
        <f t="shared" si="42"/>
        <v>1</v>
      </c>
      <c r="H428" s="16">
        <f t="shared" si="43"/>
        <v>1</v>
      </c>
      <c r="I428" s="22">
        <f t="shared" si="44"/>
        <v>-1202.839306240001</v>
      </c>
      <c r="J428" s="22">
        <f t="shared" si="45"/>
        <v>-6002.0811035099641</v>
      </c>
      <c r="K428" s="22">
        <f t="shared" si="46"/>
        <v>-40946.765248690193</v>
      </c>
    </row>
    <row r="429" spans="1:11" x14ac:dyDescent="0.2">
      <c r="A429" s="19">
        <v>46163</v>
      </c>
      <c r="B429" s="15">
        <v>4.0839999999999996</v>
      </c>
      <c r="C429" s="15">
        <v>4.5720000000000001</v>
      </c>
      <c r="D429" s="16">
        <v>2.7999999999999581</v>
      </c>
      <c r="E429" s="16">
        <v>-1.4000000000000234</v>
      </c>
      <c r="F429" s="16">
        <f t="shared" si="41"/>
        <v>0</v>
      </c>
      <c r="G429" s="16">
        <f t="shared" si="42"/>
        <v>0</v>
      </c>
      <c r="H429" s="16">
        <f t="shared" si="43"/>
        <v>0</v>
      </c>
      <c r="I429" s="22">
        <f t="shared" si="44"/>
        <v>525.66403903999208</v>
      </c>
      <c r="J429" s="22">
        <f t="shared" si="45"/>
        <v>-1034.1569663600173</v>
      </c>
      <c r="K429" s="22">
        <f t="shared" si="46"/>
        <v>3938.5772555590138</v>
      </c>
    </row>
    <row r="430" spans="1:11" x14ac:dyDescent="0.2">
      <c r="A430" s="19">
        <v>46164</v>
      </c>
      <c r="B430" s="15">
        <v>4.1230000000000002</v>
      </c>
      <c r="C430" s="15">
        <v>4.5590000000000002</v>
      </c>
      <c r="D430" s="16">
        <v>3.900000000000059</v>
      </c>
      <c r="E430" s="16">
        <v>-1.2999999999999901</v>
      </c>
      <c r="F430" s="16">
        <f t="shared" si="41"/>
        <v>0</v>
      </c>
      <c r="G430" s="16">
        <f t="shared" si="42"/>
        <v>0</v>
      </c>
      <c r="H430" s="16">
        <f t="shared" si="43"/>
        <v>0</v>
      </c>
      <c r="I430" s="22">
        <f t="shared" si="44"/>
        <v>732.07862676001105</v>
      </c>
      <c r="J430" s="22">
        <f t="shared" si="45"/>
        <v>-960.24371078999263</v>
      </c>
      <c r="K430" s="22">
        <f t="shared" si="46"/>
        <v>7316.8519382527684</v>
      </c>
    </row>
    <row r="431" spans="1:11" x14ac:dyDescent="0.2">
      <c r="A431" s="19">
        <v>46167</v>
      </c>
      <c r="B431" s="15">
        <v>4.1230000000000002</v>
      </c>
      <c r="C431" s="15">
        <v>4.5590000000000002</v>
      </c>
      <c r="D431" s="16">
        <v>0</v>
      </c>
      <c r="E431" s="16">
        <v>0</v>
      </c>
      <c r="F431" s="16">
        <f t="shared" si="41"/>
        <v>0</v>
      </c>
      <c r="G431" s="16">
        <f t="shared" si="42"/>
        <v>0</v>
      </c>
      <c r="H431" s="16">
        <f t="shared" si="43"/>
        <v>0</v>
      </c>
      <c r="I431" s="22">
        <f t="shared" si="44"/>
        <v>0</v>
      </c>
      <c r="J431" s="22">
        <f t="shared" si="45"/>
        <v>0</v>
      </c>
      <c r="K431" s="22">
        <f t="shared" si="46"/>
        <v>0</v>
      </c>
    </row>
    <row r="432" spans="1:11" x14ac:dyDescent="0.2">
      <c r="A432" s="19">
        <v>46168</v>
      </c>
      <c r="B432" s="15">
        <v>4.0330000000000004</v>
      </c>
      <c r="C432" s="15">
        <v>4.4859999999999998</v>
      </c>
      <c r="D432" s="16">
        <v>-8.9999999999999858</v>
      </c>
      <c r="E432" s="16">
        <v>-7.3000000000000398</v>
      </c>
      <c r="F432" s="16">
        <f t="shared" si="41"/>
        <v>1</v>
      </c>
      <c r="G432" s="16">
        <f t="shared" si="42"/>
        <v>1</v>
      </c>
      <c r="H432" s="16">
        <f t="shared" si="43"/>
        <v>1</v>
      </c>
      <c r="I432" s="22">
        <f t="shared" si="44"/>
        <v>-1692.0179639999972</v>
      </c>
      <c r="J432" s="22">
        <f t="shared" si="45"/>
        <v>-5407.2658863900288</v>
      </c>
      <c r="K432" s="22">
        <f t="shared" si="46"/>
        <v>-46014.607040548195</v>
      </c>
    </row>
    <row r="433" spans="1:11" x14ac:dyDescent="0.2">
      <c r="A433" s="19">
        <v>46169</v>
      </c>
      <c r="B433" s="15">
        <v>4.0339999999999998</v>
      </c>
      <c r="C433" s="15">
        <v>4.484</v>
      </c>
      <c r="D433" s="16">
        <v>9.9999999999944578E-2</v>
      </c>
      <c r="E433" s="16">
        <v>-0.19999999999997797</v>
      </c>
      <c r="F433" s="16">
        <f t="shared" si="41"/>
        <v>0</v>
      </c>
      <c r="G433" s="16">
        <f t="shared" si="42"/>
        <v>0</v>
      </c>
      <c r="H433" s="16">
        <f t="shared" si="43"/>
        <v>0</v>
      </c>
      <c r="I433" s="22">
        <f t="shared" si="44"/>
        <v>18.779775559989591</v>
      </c>
      <c r="J433" s="22">
        <f t="shared" si="45"/>
        <v>-147.65381563998375</v>
      </c>
      <c r="K433" s="22">
        <f t="shared" si="46"/>
        <v>-281.75608762133498</v>
      </c>
    </row>
    <row r="434" spans="1:11" x14ac:dyDescent="0.2">
      <c r="A434" s="19">
        <v>46170</v>
      </c>
      <c r="B434" s="15">
        <v>4.0229999999999997</v>
      </c>
      <c r="C434" s="15">
        <v>4.4480000000000004</v>
      </c>
      <c r="D434" s="16">
        <v>-1.1000000000000121</v>
      </c>
      <c r="E434" s="16">
        <v>-3.5999999999999588</v>
      </c>
      <c r="F434" s="16">
        <f t="shared" si="41"/>
        <v>0</v>
      </c>
      <c r="G434" s="16">
        <f t="shared" si="42"/>
        <v>0</v>
      </c>
      <c r="H434" s="16">
        <f t="shared" si="43"/>
        <v>0</v>
      </c>
      <c r="I434" s="22">
        <f t="shared" si="44"/>
        <v>-206.60715724000224</v>
      </c>
      <c r="J434" s="22">
        <f t="shared" si="45"/>
        <v>-2661.9962673599694</v>
      </c>
      <c r="K434" s="22">
        <f t="shared" si="46"/>
        <v>-13257.388969481954</v>
      </c>
    </row>
    <row r="435" spans="1:11" x14ac:dyDescent="0.2">
      <c r="A435" s="19">
        <v>46171</v>
      </c>
      <c r="B435" s="15">
        <v>4.0049999999999999</v>
      </c>
      <c r="C435" s="15">
        <v>4.4370000000000003</v>
      </c>
      <c r="D435" s="16">
        <v>-1.7999999999999794</v>
      </c>
      <c r="E435" s="16">
        <v>-1.1000000000000121</v>
      </c>
      <c r="F435" s="16">
        <f t="shared" si="41"/>
        <v>0</v>
      </c>
      <c r="G435" s="16">
        <f t="shared" si="42"/>
        <v>0</v>
      </c>
      <c r="H435" s="16">
        <f t="shared" si="43"/>
        <v>0</v>
      </c>
      <c r="I435" s="22">
        <f t="shared" si="44"/>
        <v>-338.11271855999615</v>
      </c>
      <c r="J435" s="22">
        <f t="shared" si="45"/>
        <v>-812.43792311000902</v>
      </c>
      <c r="K435" s="22">
        <f t="shared" si="46"/>
        <v>-8171.9855892925125</v>
      </c>
    </row>
    <row r="436" spans="1:11" x14ac:dyDescent="0.2">
      <c r="A436" s="19">
        <v>46174</v>
      </c>
      <c r="B436" s="15">
        <v>4.0339999999999998</v>
      </c>
      <c r="C436" s="15">
        <v>4.4539999999999997</v>
      </c>
      <c r="D436" s="16">
        <v>2.8999999999999915</v>
      </c>
      <c r="E436" s="16">
        <v>1.699999999999946</v>
      </c>
      <c r="F436" s="16">
        <f t="shared" si="41"/>
        <v>0</v>
      </c>
      <c r="G436" s="16">
        <f t="shared" si="42"/>
        <v>0</v>
      </c>
      <c r="H436" s="16">
        <f t="shared" si="43"/>
        <v>0</v>
      </c>
      <c r="I436" s="22">
        <f t="shared" si="44"/>
        <v>544.43124595999825</v>
      </c>
      <c r="J436" s="22">
        <f t="shared" si="45"/>
        <v>1253.9418200099601</v>
      </c>
      <c r="K436" s="22">
        <f t="shared" si="46"/>
        <v>12951.55959561517</v>
      </c>
    </row>
    <row r="437" spans="1:11" x14ac:dyDescent="0.2">
      <c r="A437" s="19">
        <v>46175</v>
      </c>
      <c r="B437" s="15">
        <v>4.0439999999999996</v>
      </c>
      <c r="C437" s="15">
        <v>4.444</v>
      </c>
      <c r="D437" s="16">
        <v>0.99999999999997868</v>
      </c>
      <c r="E437" s="16">
        <v>-0.99999999999997868</v>
      </c>
      <c r="F437" s="16">
        <f t="shared" si="41"/>
        <v>0</v>
      </c>
      <c r="G437" s="16">
        <f t="shared" si="42"/>
        <v>0</v>
      </c>
      <c r="H437" s="16">
        <f t="shared" si="43"/>
        <v>0</v>
      </c>
      <c r="I437" s="22">
        <f t="shared" si="44"/>
        <v>187.777555999996</v>
      </c>
      <c r="J437" s="22">
        <f t="shared" si="45"/>
        <v>-738.54539099998419</v>
      </c>
      <c r="K437" s="22">
        <f t="shared" si="46"/>
        <v>-1.654685531020732</v>
      </c>
    </row>
    <row r="438" spans="1:11" x14ac:dyDescent="0.2">
      <c r="A438" s="19">
        <v>46176</v>
      </c>
      <c r="B438" s="15">
        <v>4.0830000000000002</v>
      </c>
      <c r="C438" s="15">
        <v>4.4960000000000004</v>
      </c>
      <c r="D438" s="16">
        <v>3.900000000000059</v>
      </c>
      <c r="E438" s="16">
        <v>5.200000000000049</v>
      </c>
      <c r="F438" s="16">
        <f t="shared" si="41"/>
        <v>0</v>
      </c>
      <c r="G438" s="16">
        <f t="shared" si="42"/>
        <v>1</v>
      </c>
      <c r="H438" s="16">
        <f t="shared" si="43"/>
        <v>0</v>
      </c>
      <c r="I438" s="22">
        <f t="shared" si="44"/>
        <v>732.07862676001105</v>
      </c>
      <c r="J438" s="22">
        <f t="shared" si="45"/>
        <v>3829.3006273600354</v>
      </c>
      <c r="K438" s="22">
        <f t="shared" si="46"/>
        <v>25593.93999104148</v>
      </c>
    </row>
    <row r="439" spans="1:11" x14ac:dyDescent="0.2">
      <c r="A439" s="19">
        <v>46177</v>
      </c>
      <c r="B439" s="15">
        <v>4.0449999999999999</v>
      </c>
      <c r="C439" s="15">
        <v>4.4749999999999996</v>
      </c>
      <c r="D439" s="16">
        <v>-3.8000000000000256</v>
      </c>
      <c r="E439" s="16">
        <v>-2.1000000000000796</v>
      </c>
      <c r="F439" s="16">
        <f t="shared" si="41"/>
        <v>0</v>
      </c>
      <c r="G439" s="16">
        <f t="shared" si="42"/>
        <v>0</v>
      </c>
      <c r="H439" s="16">
        <f t="shared" si="43"/>
        <v>0</v>
      </c>
      <c r="I439" s="22">
        <f t="shared" si="44"/>
        <v>-713.96409136000477</v>
      </c>
      <c r="J439" s="22">
        <f t="shared" si="45"/>
        <v>-1551.7431743100587</v>
      </c>
      <c r="K439" s="22">
        <f t="shared" si="46"/>
        <v>-16630.973862992098</v>
      </c>
    </row>
    <row r="440" spans="1:11" x14ac:dyDescent="0.2">
      <c r="A440" s="19">
        <v>46178</v>
      </c>
      <c r="B440" s="15">
        <v>4.1479999999999997</v>
      </c>
      <c r="C440" s="15">
        <v>4.5309999999999997</v>
      </c>
      <c r="D440" s="16">
        <v>10.299999999999976</v>
      </c>
      <c r="E440" s="16">
        <v>5.600000000000005</v>
      </c>
      <c r="F440" s="16">
        <f t="shared" si="41"/>
        <v>1</v>
      </c>
      <c r="G440" s="16">
        <f t="shared" si="42"/>
        <v>1</v>
      </c>
      <c r="H440" s="16">
        <f t="shared" si="43"/>
        <v>1</v>
      </c>
      <c r="I440" s="22">
        <f t="shared" si="44"/>
        <v>1931.9589160399953</v>
      </c>
      <c r="J440" s="22">
        <f t="shared" si="45"/>
        <v>4123.0885382400029</v>
      </c>
      <c r="K440" s="22">
        <f t="shared" si="46"/>
        <v>44713.250459947107</v>
      </c>
    </row>
    <row r="441" spans="1:11" x14ac:dyDescent="0.2">
      <c r="A441" s="19">
        <v>46181</v>
      </c>
      <c r="B441" s="15">
        <v>4.1639999999999997</v>
      </c>
      <c r="C441" s="15">
        <v>4.5640000000000001</v>
      </c>
      <c r="D441" s="16">
        <v>1.6000000000000014</v>
      </c>
      <c r="E441" s="16">
        <v>3.3000000000000362</v>
      </c>
      <c r="F441" s="16">
        <f t="shared" si="41"/>
        <v>0</v>
      </c>
      <c r="G441" s="16">
        <f t="shared" si="42"/>
        <v>0</v>
      </c>
      <c r="H441" s="16">
        <f t="shared" si="43"/>
        <v>0</v>
      </c>
      <c r="I441" s="22">
        <f t="shared" si="44"/>
        <v>300.42254336000025</v>
      </c>
      <c r="J441" s="22">
        <f t="shared" si="45"/>
        <v>2432.2986920100266</v>
      </c>
      <c r="K441" s="22">
        <f t="shared" si="46"/>
        <v>13788.084852367283</v>
      </c>
    </row>
    <row r="442" spans="1:11" x14ac:dyDescent="0.2">
      <c r="A442" s="19">
        <v>46182</v>
      </c>
      <c r="B442" s="15">
        <v>4.1189999999999998</v>
      </c>
      <c r="C442" s="15">
        <v>4.5179999999999998</v>
      </c>
      <c r="D442" s="16">
        <v>-4.4999999999999929</v>
      </c>
      <c r="E442" s="16">
        <v>-4.6000000000000263</v>
      </c>
      <c r="F442" s="16">
        <f t="shared" si="41"/>
        <v>0</v>
      </c>
      <c r="G442" s="16">
        <f t="shared" si="42"/>
        <v>1</v>
      </c>
      <c r="H442" s="16">
        <f t="shared" si="43"/>
        <v>0</v>
      </c>
      <c r="I442" s="22">
        <f t="shared" si="44"/>
        <v>-845.55449099999862</v>
      </c>
      <c r="J442" s="22">
        <f t="shared" si="45"/>
        <v>-3403.0284735600189</v>
      </c>
      <c r="K442" s="22">
        <f t="shared" si="46"/>
        <v>-25669.406785236461</v>
      </c>
    </row>
    <row r="443" spans="1:11" x14ac:dyDescent="0.2">
      <c r="A443" s="19">
        <v>46183</v>
      </c>
      <c r="B443" s="15">
        <v>4.1449999999999996</v>
      </c>
      <c r="C443" s="15">
        <v>4.5529999999999999</v>
      </c>
      <c r="D443" s="16">
        <v>2.5999999999999801</v>
      </c>
      <c r="E443" s="16">
        <v>3.5000000000000142</v>
      </c>
      <c r="F443" s="16">
        <f t="shared" si="41"/>
        <v>0</v>
      </c>
      <c r="G443" s="16">
        <f t="shared" si="42"/>
        <v>0</v>
      </c>
      <c r="H443" s="16">
        <f t="shared" si="43"/>
        <v>0</v>
      </c>
      <c r="I443" s="22">
        <f t="shared" si="44"/>
        <v>488.1282785599962</v>
      </c>
      <c r="J443" s="22">
        <f t="shared" si="45"/>
        <v>2579.4689602500102</v>
      </c>
      <c r="K443" s="22">
        <f t="shared" si="46"/>
        <v>17165.278365644968</v>
      </c>
    </row>
    <row r="444" spans="1:11" x14ac:dyDescent="0.2">
      <c r="A444" s="19">
        <v>46184</v>
      </c>
      <c r="B444" s="15">
        <v>4.0629999999999997</v>
      </c>
      <c r="C444" s="15">
        <v>4.4619999999999997</v>
      </c>
      <c r="D444" s="16">
        <v>-8.1999999999999851</v>
      </c>
      <c r="E444" s="16">
        <v>-9.1000000000000192</v>
      </c>
      <c r="F444" s="16">
        <f t="shared" si="41"/>
        <v>1</v>
      </c>
      <c r="G444" s="16">
        <f t="shared" si="42"/>
        <v>1</v>
      </c>
      <c r="H444" s="16">
        <f t="shared" si="43"/>
        <v>1</v>
      </c>
      <c r="I444" s="22">
        <f t="shared" si="44"/>
        <v>-1541.469134559997</v>
      </c>
      <c r="J444" s="22">
        <f t="shared" si="45"/>
        <v>-6746.2218287100141</v>
      </c>
      <c r="K444" s="22">
        <f t="shared" si="46"/>
        <v>-48865.88271262389</v>
      </c>
    </row>
    <row r="445" spans="1:11" x14ac:dyDescent="0.2">
      <c r="A445" s="19">
        <v>46185</v>
      </c>
      <c r="B445" s="15">
        <v>4.0819999999999999</v>
      </c>
      <c r="C445" s="15">
        <v>4.4809999999999999</v>
      </c>
      <c r="D445" s="16">
        <v>1.9000000000000128</v>
      </c>
      <c r="E445" s="16">
        <v>1.9000000000000128</v>
      </c>
      <c r="F445" s="16">
        <f t="shared" si="41"/>
        <v>0</v>
      </c>
      <c r="G445" s="16">
        <f t="shared" si="42"/>
        <v>0</v>
      </c>
      <c r="H445" s="16">
        <f t="shared" si="43"/>
        <v>0</v>
      </c>
      <c r="I445" s="22">
        <f t="shared" si="44"/>
        <v>356.73897716000243</v>
      </c>
      <c r="J445" s="22">
        <f t="shared" si="45"/>
        <v>1401.3331384900093</v>
      </c>
      <c r="K445" s="22">
        <f t="shared" si="46"/>
        <v>10698.626585233083</v>
      </c>
    </row>
    <row r="446" spans="1:11" x14ac:dyDescent="0.2">
      <c r="A446" s="19">
        <v>46188</v>
      </c>
      <c r="B446" s="15">
        <v>4.069</v>
      </c>
      <c r="C446" s="15">
        <v>4.4749999999999996</v>
      </c>
      <c r="D446" s="16">
        <v>-1.2999999999999901</v>
      </c>
      <c r="E446" s="16">
        <v>-0.60000000000002274</v>
      </c>
      <c r="F446" s="16">
        <f t="shared" si="41"/>
        <v>0</v>
      </c>
      <c r="G446" s="16">
        <f t="shared" si="42"/>
        <v>0</v>
      </c>
      <c r="H446" s="16">
        <f t="shared" si="43"/>
        <v>0</v>
      </c>
      <c r="I446" s="22">
        <f t="shared" si="44"/>
        <v>-244.1779303599981</v>
      </c>
      <c r="J446" s="22">
        <f t="shared" si="45"/>
        <v>-443.04434076001678</v>
      </c>
      <c r="K446" s="22">
        <f t="shared" si="46"/>
        <v>-5353.3434445912026</v>
      </c>
    </row>
    <row r="447" spans="1:11" x14ac:dyDescent="0.2">
      <c r="A447" s="19">
        <v>46189</v>
      </c>
      <c r="B447" s="15">
        <v>4.0549999999999997</v>
      </c>
      <c r="C447" s="15">
        <v>4.4400000000000004</v>
      </c>
      <c r="D447" s="16">
        <v>-1.4000000000000234</v>
      </c>
      <c r="E447" s="16">
        <v>-3.4999999999999254</v>
      </c>
      <c r="F447" s="16">
        <f t="shared" si="41"/>
        <v>0</v>
      </c>
      <c r="G447" s="16">
        <f t="shared" si="42"/>
        <v>0</v>
      </c>
      <c r="H447" s="16">
        <f t="shared" si="43"/>
        <v>0</v>
      </c>
      <c r="I447" s="22">
        <f t="shared" si="44"/>
        <v>-262.96399024000436</v>
      </c>
      <c r="J447" s="22">
        <f t="shared" si="45"/>
        <v>-2587.9310397499448</v>
      </c>
      <c r="K447" s="22">
        <f t="shared" si="46"/>
        <v>-13820.105666354866</v>
      </c>
    </row>
    <row r="448" spans="1:11" x14ac:dyDescent="0.2">
      <c r="A448" s="19">
        <v>46190</v>
      </c>
      <c r="B448" s="15">
        <v>4.1859999999999999</v>
      </c>
      <c r="C448" s="15">
        <v>4.4889999999999999</v>
      </c>
      <c r="D448" s="16">
        <v>13.100000000000023</v>
      </c>
      <c r="E448" s="16">
        <v>4.8999999999999488</v>
      </c>
      <c r="F448" s="16">
        <f t="shared" si="41"/>
        <v>1</v>
      </c>
      <c r="G448" s="16">
        <f t="shared" si="42"/>
        <v>0</v>
      </c>
      <c r="H448" s="16">
        <f t="shared" si="43"/>
        <v>0</v>
      </c>
      <c r="I448" s="22">
        <f t="shared" si="44"/>
        <v>2456.328385160004</v>
      </c>
      <c r="J448" s="22">
        <f t="shared" si="45"/>
        <v>3608.8871620899622</v>
      </c>
      <c r="K448" s="22">
        <f t="shared" si="46"/>
        <v>50616.579984400087</v>
      </c>
    </row>
    <row r="449" spans="1:11" x14ac:dyDescent="0.2">
      <c r="A449" s="19">
        <v>46191</v>
      </c>
      <c r="B449" s="15">
        <v>4.18</v>
      </c>
      <c r="C449" s="15">
        <v>4.4550000000000001</v>
      </c>
      <c r="D449" s="16">
        <v>-0.60000000000002274</v>
      </c>
      <c r="E449" s="16">
        <v>-3.3999999999999808</v>
      </c>
      <c r="F449" s="16">
        <f t="shared" si="41"/>
        <v>0</v>
      </c>
      <c r="G449" s="16">
        <f t="shared" si="42"/>
        <v>0</v>
      </c>
      <c r="H449" s="16">
        <f t="shared" si="43"/>
        <v>0</v>
      </c>
      <c r="I449" s="22">
        <f t="shared" si="44"/>
        <v>-112.68807984000426</v>
      </c>
      <c r="J449" s="22">
        <f t="shared" si="45"/>
        <v>-2513.8727199599857</v>
      </c>
      <c r="K449" s="22">
        <f t="shared" si="46"/>
        <v>-11283.357572738616</v>
      </c>
    </row>
    <row r="450" spans="1:11" x14ac:dyDescent="0.2">
      <c r="A450" s="19">
        <v>46192</v>
      </c>
      <c r="B450" s="15">
        <v>4.18</v>
      </c>
      <c r="C450" s="15">
        <v>4.4550000000000001</v>
      </c>
      <c r="D450" s="16">
        <v>0</v>
      </c>
      <c r="E450" s="16">
        <v>0</v>
      </c>
      <c r="F450" s="16">
        <f t="shared" si="41"/>
        <v>0</v>
      </c>
      <c r="G450" s="16">
        <f t="shared" si="42"/>
        <v>0</v>
      </c>
      <c r="H450" s="16">
        <f t="shared" si="43"/>
        <v>0</v>
      </c>
      <c r="I450" s="22">
        <f t="shared" si="44"/>
        <v>0</v>
      </c>
      <c r="J450" s="22">
        <f t="shared" si="45"/>
        <v>0</v>
      </c>
      <c r="K450" s="22">
        <f t="shared" si="46"/>
        <v>0</v>
      </c>
    </row>
    <row r="451" spans="1:11" x14ac:dyDescent="0.2">
      <c r="A451" s="19">
        <v>46195</v>
      </c>
      <c r="B451" s="15">
        <v>4.2279999999999998</v>
      </c>
      <c r="C451" s="15">
        <v>4.51</v>
      </c>
      <c r="D451" s="16">
        <v>4.8000000000000043</v>
      </c>
      <c r="E451" s="16">
        <v>5.4999999999999716</v>
      </c>
      <c r="F451" s="16">
        <f t="shared" si="41"/>
        <v>0</v>
      </c>
      <c r="G451" s="16">
        <f t="shared" si="42"/>
        <v>1</v>
      </c>
      <c r="H451" s="16">
        <f t="shared" si="43"/>
        <v>0</v>
      </c>
      <c r="I451" s="22">
        <f t="shared" si="44"/>
        <v>900.9228902400007</v>
      </c>
      <c r="J451" s="22">
        <f t="shared" si="45"/>
        <v>4049.6519222499787</v>
      </c>
      <c r="K451" s="22">
        <f t="shared" si="46"/>
        <v>28967.473081286531</v>
      </c>
    </row>
    <row r="452" spans="1:11" x14ac:dyDescent="0.2">
      <c r="A452" s="19">
        <v>46196</v>
      </c>
      <c r="B452" s="15">
        <v>4.1989999999999998</v>
      </c>
      <c r="C452" s="15">
        <v>4.4980000000000002</v>
      </c>
      <c r="D452" s="16">
        <v>-2.8999999999999915</v>
      </c>
      <c r="E452" s="16">
        <v>-1.1999999999999567</v>
      </c>
      <c r="F452" s="16">
        <f t="shared" ref="F452:F515" si="47">IF(ABS(D452-$N$2)&gt;$N$3,1,0)</f>
        <v>0</v>
      </c>
      <c r="G452" s="16">
        <f t="shared" ref="G452:G515" si="48">IF(ABS(E452-$O$2)&gt;$O$3,1,0)</f>
        <v>0</v>
      </c>
      <c r="H452" s="16">
        <f t="shared" ref="H452:H515" si="49">IF(AND(F452=1,G452=1),1,0)</f>
        <v>0</v>
      </c>
      <c r="I452" s="22">
        <f t="shared" ref="I452:I515" si="50">(1000000/100)*($N$11*D452/100-0.5*$N$19*(D452/100)^2)</f>
        <v>-544.80875403999835</v>
      </c>
      <c r="J452" s="22">
        <f t="shared" ref="J452:J515" si="51">(1000000/100)*($O$11*E452/100-0.5*$O$19*(E452/100)^2)</f>
        <v>-886.33736303996807</v>
      </c>
      <c r="K452" s="22">
        <f t="shared" ref="K452:K515" si="52">($N$16/1000000)*I452+($O$16/1000000)*J452</f>
        <v>-11554.429267364525</v>
      </c>
    </row>
    <row r="453" spans="1:11" x14ac:dyDescent="0.2">
      <c r="A453" s="19">
        <v>46197</v>
      </c>
      <c r="B453" s="15">
        <v>4.1479999999999997</v>
      </c>
      <c r="C453" s="15">
        <v>4.3929999999999998</v>
      </c>
      <c r="D453" s="16">
        <v>-5.1000000000000156</v>
      </c>
      <c r="E453" s="16">
        <v>-10.500000000000043</v>
      </c>
      <c r="F453" s="16">
        <f t="shared" si="47"/>
        <v>1</v>
      </c>
      <c r="G453" s="16">
        <f t="shared" si="48"/>
        <v>1</v>
      </c>
      <c r="H453" s="16">
        <f t="shared" si="49"/>
        <v>1</v>
      </c>
      <c r="I453" s="22">
        <f t="shared" si="50"/>
        <v>-958.36376844000279</v>
      </c>
      <c r="J453" s="22">
        <f t="shared" si="51"/>
        <v>-7789.1793577500312</v>
      </c>
      <c r="K453" s="22">
        <f t="shared" si="52"/>
        <v>-44099.268841395271</v>
      </c>
    </row>
    <row r="454" spans="1:11" x14ac:dyDescent="0.2">
      <c r="A454" s="19">
        <v>46198</v>
      </c>
      <c r="B454" s="15">
        <v>4.1239999999999997</v>
      </c>
      <c r="C454" s="15">
        <v>4.3940000000000001</v>
      </c>
      <c r="D454" s="16">
        <v>-2.4000000000000021</v>
      </c>
      <c r="E454" s="16">
        <v>0.1000000000000334</v>
      </c>
      <c r="F454" s="16">
        <f t="shared" si="47"/>
        <v>0</v>
      </c>
      <c r="G454" s="16">
        <f t="shared" si="48"/>
        <v>0</v>
      </c>
      <c r="H454" s="16">
        <f t="shared" si="49"/>
        <v>0</v>
      </c>
      <c r="I454" s="22">
        <f t="shared" si="50"/>
        <v>-450.84927744000038</v>
      </c>
      <c r="J454" s="22">
        <f t="shared" si="51"/>
        <v>73.816546090024659</v>
      </c>
      <c r="K454" s="22">
        <f t="shared" si="52"/>
        <v>-6481.052341855222</v>
      </c>
    </row>
    <row r="455" spans="1:11" x14ac:dyDescent="0.2">
      <c r="A455" s="19">
        <v>46199</v>
      </c>
      <c r="B455" s="15">
        <v>4.093</v>
      </c>
      <c r="C455" s="15">
        <v>4.3710000000000004</v>
      </c>
      <c r="D455" s="16">
        <v>-3.0999999999999694</v>
      </c>
      <c r="E455" s="16">
        <v>-2.2999999999999687</v>
      </c>
      <c r="F455" s="16">
        <f t="shared" si="47"/>
        <v>0</v>
      </c>
      <c r="G455" s="16">
        <f t="shared" si="48"/>
        <v>0</v>
      </c>
      <c r="H455" s="16">
        <f t="shared" si="49"/>
        <v>0</v>
      </c>
      <c r="I455" s="22">
        <f t="shared" si="50"/>
        <v>-582.39568683999414</v>
      </c>
      <c r="J455" s="22">
        <f t="shared" si="51"/>
        <v>-1699.6871183899766</v>
      </c>
      <c r="K455" s="22">
        <f t="shared" si="52"/>
        <v>-15222.007657658925</v>
      </c>
    </row>
    <row r="456" spans="1:11" x14ac:dyDescent="0.2">
      <c r="A456" s="19">
        <v>46202</v>
      </c>
      <c r="B456" s="15">
        <v>4.1070000000000002</v>
      </c>
      <c r="C456" s="15">
        <v>4.3760000000000003</v>
      </c>
      <c r="D456" s="16">
        <v>1.4000000000000234</v>
      </c>
      <c r="E456" s="16">
        <v>0.49999999999998934</v>
      </c>
      <c r="F456" s="16">
        <f t="shared" si="47"/>
        <v>0</v>
      </c>
      <c r="G456" s="16">
        <f t="shared" si="48"/>
        <v>0</v>
      </c>
      <c r="H456" s="16">
        <f t="shared" si="49"/>
        <v>0</v>
      </c>
      <c r="I456" s="22">
        <f t="shared" si="50"/>
        <v>262.87600976000442</v>
      </c>
      <c r="J456" s="22">
        <f t="shared" si="51"/>
        <v>369.01365224999211</v>
      </c>
      <c r="K456" s="22">
        <f t="shared" si="52"/>
        <v>5351.310640017281</v>
      </c>
    </row>
    <row r="457" spans="1:11" x14ac:dyDescent="0.2">
      <c r="A457" s="19">
        <v>46203</v>
      </c>
      <c r="B457" s="15">
        <v>4.1749999999999998</v>
      </c>
      <c r="C457" s="15">
        <v>4.4660000000000002</v>
      </c>
      <c r="D457" s="16">
        <v>6.7999999999999616</v>
      </c>
      <c r="E457" s="16">
        <v>8.9999999999999858</v>
      </c>
      <c r="F457" s="16">
        <f t="shared" si="47"/>
        <v>1</v>
      </c>
      <c r="G457" s="16">
        <f t="shared" si="48"/>
        <v>1</v>
      </c>
      <c r="H457" s="16">
        <f t="shared" si="49"/>
        <v>1</v>
      </c>
      <c r="I457" s="22">
        <f t="shared" si="50"/>
        <v>1276.0021894399927</v>
      </c>
      <c r="J457" s="22">
        <f t="shared" si="51"/>
        <v>6615.8233289999889</v>
      </c>
      <c r="K457" s="22">
        <f t="shared" si="52"/>
        <v>44386.272773587116</v>
      </c>
    </row>
    <row r="458" spans="1:11" x14ac:dyDescent="0.2">
      <c r="A458" s="19">
        <v>46204</v>
      </c>
      <c r="B458" s="15">
        <v>4.1769999999999996</v>
      </c>
      <c r="C458" s="15">
        <v>4.4800000000000004</v>
      </c>
      <c r="D458" s="16">
        <v>0.19999999999997797</v>
      </c>
      <c r="E458" s="16">
        <v>1.4000000000000234</v>
      </c>
      <c r="F458" s="16">
        <f t="shared" si="47"/>
        <v>0</v>
      </c>
      <c r="G458" s="16">
        <f t="shared" si="48"/>
        <v>0</v>
      </c>
      <c r="H458" s="16">
        <f t="shared" si="49"/>
        <v>0</v>
      </c>
      <c r="I458" s="22">
        <f t="shared" si="50"/>
        <v>37.559102239995866</v>
      </c>
      <c r="J458" s="22">
        <f t="shared" si="51"/>
        <v>1032.803033640017</v>
      </c>
      <c r="K458" s="22">
        <f t="shared" si="52"/>
        <v>4504.6032035592007</v>
      </c>
    </row>
    <row r="459" spans="1:11" x14ac:dyDescent="0.2">
      <c r="A459" s="19">
        <v>46205</v>
      </c>
      <c r="B459" s="15">
        <v>4.1379999999999999</v>
      </c>
      <c r="C459" s="15">
        <v>4.4850000000000003</v>
      </c>
      <c r="D459" s="16">
        <v>-3.8999999999999702</v>
      </c>
      <c r="E459" s="16">
        <v>0.49999999999998934</v>
      </c>
      <c r="F459" s="16">
        <f t="shared" si="47"/>
        <v>0</v>
      </c>
      <c r="G459" s="16">
        <f t="shared" si="48"/>
        <v>0</v>
      </c>
      <c r="H459" s="16">
        <f t="shared" si="49"/>
        <v>0</v>
      </c>
      <c r="I459" s="22">
        <f t="shared" si="50"/>
        <v>-732.76137323999433</v>
      </c>
      <c r="J459" s="22">
        <f t="shared" si="51"/>
        <v>369.01365224999211</v>
      </c>
      <c r="K459" s="22">
        <f t="shared" si="52"/>
        <v>-9583.2501049827006</v>
      </c>
    </row>
    <row r="460" spans="1:11" x14ac:dyDescent="0.2">
      <c r="A460" s="19">
        <v>46206</v>
      </c>
      <c r="B460" s="15">
        <v>4.1379999999999999</v>
      </c>
      <c r="C460" s="15">
        <v>4.4850000000000003</v>
      </c>
      <c r="D460" s="16">
        <v>0</v>
      </c>
      <c r="E460" s="16">
        <v>0</v>
      </c>
      <c r="F460" s="16">
        <f t="shared" si="47"/>
        <v>0</v>
      </c>
      <c r="G460" s="16">
        <f t="shared" si="48"/>
        <v>0</v>
      </c>
      <c r="H460" s="16">
        <f t="shared" si="49"/>
        <v>0</v>
      </c>
      <c r="I460" s="22">
        <f t="shared" si="50"/>
        <v>0</v>
      </c>
      <c r="J460" s="22">
        <f t="shared" si="51"/>
        <v>0</v>
      </c>
      <c r="K460" s="22">
        <f t="shared" si="52"/>
        <v>0</v>
      </c>
    </row>
    <row r="461" spans="1:11" x14ac:dyDescent="0.2">
      <c r="A461" s="19">
        <v>46209</v>
      </c>
      <c r="B461" s="15">
        <v>4.1120000000000001</v>
      </c>
      <c r="C461" s="15">
        <v>4.47</v>
      </c>
      <c r="D461" s="16">
        <v>-2.5999999999999801</v>
      </c>
      <c r="E461" s="16">
        <v>-1.5000000000000568</v>
      </c>
      <c r="F461" s="16">
        <f t="shared" si="47"/>
        <v>0</v>
      </c>
      <c r="G461" s="16">
        <f t="shared" si="48"/>
        <v>0</v>
      </c>
      <c r="H461" s="16">
        <f t="shared" si="49"/>
        <v>0</v>
      </c>
      <c r="I461" s="22">
        <f t="shared" si="50"/>
        <v>-488.43172143999624</v>
      </c>
      <c r="J461" s="22">
        <f t="shared" si="51"/>
        <v>-1108.0771297500421</v>
      </c>
      <c r="K461" s="22">
        <f t="shared" si="52"/>
        <v>-11554.941379044903</v>
      </c>
    </row>
    <row r="462" spans="1:11" x14ac:dyDescent="0.2">
      <c r="A462" s="19">
        <v>46210</v>
      </c>
      <c r="B462" s="15">
        <v>4.1870000000000003</v>
      </c>
      <c r="C462" s="15">
        <v>4.5519999999999996</v>
      </c>
      <c r="D462" s="16">
        <v>7.5000000000000178</v>
      </c>
      <c r="E462" s="16">
        <v>8.1999999999999851</v>
      </c>
      <c r="F462" s="16">
        <f t="shared" si="47"/>
        <v>1</v>
      </c>
      <c r="G462" s="16">
        <f t="shared" si="48"/>
        <v>1</v>
      </c>
      <c r="H462" s="16">
        <f t="shared" si="49"/>
        <v>1</v>
      </c>
      <c r="I462" s="22">
        <f t="shared" si="50"/>
        <v>1407.2375250000032</v>
      </c>
      <c r="J462" s="22">
        <f t="shared" si="51"/>
        <v>6030.015909159989</v>
      </c>
      <c r="K462" s="22">
        <f t="shared" si="52"/>
        <v>44119.338838294119</v>
      </c>
    </row>
    <row r="463" spans="1:11" x14ac:dyDescent="0.2">
      <c r="A463" s="19">
        <v>46211</v>
      </c>
      <c r="B463" s="15">
        <v>4.22</v>
      </c>
      <c r="C463" s="15">
        <v>4.5810000000000004</v>
      </c>
      <c r="D463" s="16">
        <v>3.2999999999999474</v>
      </c>
      <c r="E463" s="16">
        <v>2.9000000000000803</v>
      </c>
      <c r="F463" s="16">
        <f t="shared" si="47"/>
        <v>0</v>
      </c>
      <c r="G463" s="16">
        <f t="shared" si="48"/>
        <v>0</v>
      </c>
      <c r="H463" s="16">
        <f t="shared" si="49"/>
        <v>0</v>
      </c>
      <c r="I463" s="22">
        <f t="shared" si="50"/>
        <v>619.49558483998999</v>
      </c>
      <c r="J463" s="22">
        <f t="shared" si="51"/>
        <v>2137.8752616900588</v>
      </c>
      <c r="K463" s="22">
        <f t="shared" si="52"/>
        <v>17450.649177884185</v>
      </c>
    </row>
    <row r="464" spans="1:11" x14ac:dyDescent="0.2">
      <c r="A464" s="19">
        <v>46212</v>
      </c>
      <c r="B464" s="15">
        <v>4.1790000000000003</v>
      </c>
      <c r="C464" s="15">
        <v>4.5529999999999999</v>
      </c>
      <c r="D464" s="16">
        <v>-4.0999999999999481</v>
      </c>
      <c r="E464" s="16">
        <v>-2.8000000000000469</v>
      </c>
      <c r="F464" s="16">
        <f t="shared" si="47"/>
        <v>0</v>
      </c>
      <c r="G464" s="16">
        <f t="shared" si="48"/>
        <v>0</v>
      </c>
      <c r="H464" s="16">
        <f t="shared" si="49"/>
        <v>0</v>
      </c>
      <c r="I464" s="22">
        <f t="shared" si="50"/>
        <v>-770.35728363999021</v>
      </c>
      <c r="J464" s="22">
        <f t="shared" si="51"/>
        <v>-2069.6678654400343</v>
      </c>
      <c r="K464" s="22">
        <f t="shared" si="52"/>
        <v>-19453.292574763189</v>
      </c>
    </row>
    <row r="465" spans="1:11" x14ac:dyDescent="0.2">
      <c r="A465" s="19">
        <v>46213</v>
      </c>
      <c r="B465" s="15">
        <v>4.2089999999999996</v>
      </c>
      <c r="C465" s="15">
        <v>4.5620000000000003</v>
      </c>
      <c r="D465" s="16">
        <v>2.9999999999999361</v>
      </c>
      <c r="E465" s="16">
        <v>0.90000000000003411</v>
      </c>
      <c r="F465" s="16">
        <f t="shared" si="47"/>
        <v>0</v>
      </c>
      <c r="G465" s="16">
        <f t="shared" si="48"/>
        <v>0</v>
      </c>
      <c r="H465" s="16">
        <f t="shared" si="49"/>
        <v>0</v>
      </c>
      <c r="I465" s="22">
        <f t="shared" si="50"/>
        <v>563.19800399998792</v>
      </c>
      <c r="J465" s="22">
        <f t="shared" si="51"/>
        <v>664.10023329002502</v>
      </c>
      <c r="K465" s="22">
        <f t="shared" si="52"/>
        <v>10982.202459319788</v>
      </c>
    </row>
    <row r="466" spans="1:11" x14ac:dyDescent="0.2">
      <c r="A466" s="19">
        <v>46216</v>
      </c>
      <c r="B466" s="15">
        <v>4.2850000000000001</v>
      </c>
      <c r="C466" s="15">
        <v>4.625</v>
      </c>
      <c r="D466" s="16">
        <v>7.6000000000000512</v>
      </c>
      <c r="E466" s="16">
        <v>6.2999999999999723</v>
      </c>
      <c r="F466" s="16">
        <f t="shared" si="47"/>
        <v>1</v>
      </c>
      <c r="G466" s="16">
        <f t="shared" si="48"/>
        <v>1</v>
      </c>
      <c r="H466" s="16">
        <f t="shared" si="49"/>
        <v>1</v>
      </c>
      <c r="I466" s="22">
        <f t="shared" si="50"/>
        <v>1425.9836345600097</v>
      </c>
      <c r="J466" s="22">
        <f t="shared" si="51"/>
        <v>4636.9514312099791</v>
      </c>
      <c r="K466" s="22">
        <f t="shared" si="52"/>
        <v>39084.54208507383</v>
      </c>
    </row>
    <row r="467" spans="1:11" x14ac:dyDescent="0.2">
      <c r="A467" s="19">
        <v>46217</v>
      </c>
      <c r="B467" s="15">
        <v>4.1950000000000003</v>
      </c>
      <c r="C467" s="15">
        <v>4.5910000000000002</v>
      </c>
      <c r="D467" s="16">
        <v>-8.9999999999999858</v>
      </c>
      <c r="E467" s="16">
        <v>-3.3999999999999808</v>
      </c>
      <c r="F467" s="16">
        <f t="shared" si="47"/>
        <v>1</v>
      </c>
      <c r="G467" s="16">
        <f t="shared" si="48"/>
        <v>0</v>
      </c>
      <c r="H467" s="16">
        <f t="shared" si="49"/>
        <v>0</v>
      </c>
      <c r="I467" s="22">
        <f t="shared" si="50"/>
        <v>-1692.0179639999972</v>
      </c>
      <c r="J467" s="22">
        <f t="shared" si="51"/>
        <v>-2513.8727199599857</v>
      </c>
      <c r="K467" s="22">
        <f t="shared" si="52"/>
        <v>-34973.305835138512</v>
      </c>
    </row>
    <row r="468" spans="1:11" x14ac:dyDescent="0.2">
      <c r="A468" s="19">
        <v>46218</v>
      </c>
      <c r="B468" s="15">
        <v>4.1360000000000001</v>
      </c>
      <c r="C468" s="15">
        <v>4.5490000000000004</v>
      </c>
      <c r="D468" s="16">
        <v>-5.9000000000000163</v>
      </c>
      <c r="E468" s="16">
        <v>-4.1999999999999815</v>
      </c>
      <c r="F468" s="16">
        <f t="shared" si="47"/>
        <v>1</v>
      </c>
      <c r="G468" s="16">
        <f t="shared" si="48"/>
        <v>0</v>
      </c>
      <c r="H468" s="16">
        <f t="shared" si="49"/>
        <v>0</v>
      </c>
      <c r="I468" s="22">
        <f t="shared" si="50"/>
        <v>-1108.801275640003</v>
      </c>
      <c r="J468" s="22">
        <f t="shared" si="51"/>
        <v>-3106.5326972399857</v>
      </c>
      <c r="K468" s="22">
        <f t="shared" si="52"/>
        <v>-28486.669104967208</v>
      </c>
    </row>
    <row r="469" spans="1:11" x14ac:dyDescent="0.2">
      <c r="A469" s="19">
        <v>46219</v>
      </c>
      <c r="B469" s="15">
        <v>4.1420000000000003</v>
      </c>
      <c r="C469" s="15">
        <v>4.5540000000000003</v>
      </c>
      <c r="D469" s="16">
        <v>0.60000000000002274</v>
      </c>
      <c r="E469" s="16">
        <v>0.49999999999998934</v>
      </c>
      <c r="F469" s="16">
        <f t="shared" si="47"/>
        <v>0</v>
      </c>
      <c r="G469" s="16">
        <f t="shared" si="48"/>
        <v>0</v>
      </c>
      <c r="H469" s="16">
        <f t="shared" si="49"/>
        <v>0</v>
      </c>
      <c r="I469" s="22">
        <f t="shared" si="50"/>
        <v>112.67192016000428</v>
      </c>
      <c r="J469" s="22">
        <f t="shared" si="51"/>
        <v>369.01365224999211</v>
      </c>
      <c r="K469" s="22">
        <f t="shared" si="52"/>
        <v>3098.2492960172785</v>
      </c>
    </row>
    <row r="470" spans="1:11" x14ac:dyDescent="0.2">
      <c r="A470" s="19">
        <v>46220</v>
      </c>
      <c r="B470" s="15">
        <v>4.18</v>
      </c>
      <c r="C470" s="15">
        <v>4.5490000000000004</v>
      </c>
      <c r="D470" s="16">
        <v>3.7999999999999368</v>
      </c>
      <c r="E470" s="16">
        <v>-0.49999999999998934</v>
      </c>
      <c r="F470" s="16">
        <f t="shared" si="47"/>
        <v>0</v>
      </c>
      <c r="G470" s="16">
        <f t="shared" si="48"/>
        <v>0</v>
      </c>
      <c r="H470" s="16">
        <f t="shared" si="49"/>
        <v>0</v>
      </c>
      <c r="I470" s="22">
        <f t="shared" si="50"/>
        <v>713.31590863998815</v>
      </c>
      <c r="J470" s="22">
        <f t="shared" si="51"/>
        <v>-369.18634774999214</v>
      </c>
      <c r="K470" s="22">
        <f t="shared" si="52"/>
        <v>9290.9091232170977</v>
      </c>
    </row>
    <row r="471" spans="1:11" x14ac:dyDescent="0.2">
      <c r="A471" s="19">
        <v>46223</v>
      </c>
      <c r="B471" s="15">
        <v>4.2089999999999996</v>
      </c>
      <c r="C471" s="15">
        <v>4.593</v>
      </c>
      <c r="D471" s="16">
        <v>2.8999999999999915</v>
      </c>
      <c r="E471" s="16">
        <v>4.3999999999999595</v>
      </c>
      <c r="F471" s="16">
        <f t="shared" si="47"/>
        <v>0</v>
      </c>
      <c r="G471" s="16">
        <f t="shared" si="48"/>
        <v>0</v>
      </c>
      <c r="H471" s="16">
        <f t="shared" si="49"/>
        <v>0</v>
      </c>
      <c r="I471" s="22">
        <f t="shared" si="50"/>
        <v>544.43124595999825</v>
      </c>
      <c r="J471" s="22">
        <f t="shared" si="51"/>
        <v>3241.3932302399699</v>
      </c>
      <c r="K471" s="22">
        <f t="shared" si="52"/>
        <v>20535.751715119281</v>
      </c>
    </row>
    <row r="472" spans="1:11" x14ac:dyDescent="0.2">
      <c r="A472" s="19">
        <v>46224</v>
      </c>
      <c r="B472" s="15">
        <v>4.2640000000000002</v>
      </c>
      <c r="C472" s="15">
        <v>4.6289999999999996</v>
      </c>
      <c r="D472" s="16">
        <v>5.5000000000000604</v>
      </c>
      <c r="E472" s="16">
        <v>3.5999999999999588</v>
      </c>
      <c r="F472" s="16">
        <f t="shared" si="47"/>
        <v>1</v>
      </c>
      <c r="G472" s="16">
        <f t="shared" si="48"/>
        <v>0</v>
      </c>
      <c r="H472" s="16">
        <f t="shared" si="49"/>
        <v>0</v>
      </c>
      <c r="I472" s="22">
        <f t="shared" si="50"/>
        <v>1032.2210690000113</v>
      </c>
      <c r="J472" s="22">
        <f t="shared" si="51"/>
        <v>2653.0437326399692</v>
      </c>
      <c r="K472" s="22">
        <f t="shared" si="52"/>
        <v>25607.434424118015</v>
      </c>
    </row>
    <row r="473" spans="1:11" x14ac:dyDescent="0.2">
      <c r="A473" s="19">
        <v>46225</v>
      </c>
      <c r="B473" s="15">
        <v>4.2990000000000004</v>
      </c>
      <c r="C473" s="15">
        <v>4.6559999999999997</v>
      </c>
      <c r="D473" s="16">
        <v>3.5000000000000142</v>
      </c>
      <c r="E473" s="16">
        <v>2.7000000000000135</v>
      </c>
      <c r="F473" s="16">
        <f t="shared" si="47"/>
        <v>0</v>
      </c>
      <c r="G473" s="16">
        <f t="shared" si="48"/>
        <v>0</v>
      </c>
      <c r="H473" s="16">
        <f t="shared" si="49"/>
        <v>0</v>
      </c>
      <c r="I473" s="22">
        <f t="shared" si="50"/>
        <v>657.02506100000267</v>
      </c>
      <c r="J473" s="22">
        <f t="shared" si="51"/>
        <v>1990.6220996100099</v>
      </c>
      <c r="K473" s="22">
        <f t="shared" si="52"/>
        <v>17451.667508878931</v>
      </c>
    </row>
    <row r="474" spans="1:11" x14ac:dyDescent="0.2">
      <c r="A474" s="19">
        <v>46226</v>
      </c>
      <c r="B474" s="15">
        <v>4.3479999999999999</v>
      </c>
      <c r="C474" s="15">
        <v>4.694</v>
      </c>
      <c r="D474" s="16">
        <v>4.8999999999999488</v>
      </c>
      <c r="E474" s="16">
        <v>3.8000000000000256</v>
      </c>
      <c r="F474" s="16">
        <f t="shared" si="47"/>
        <v>0</v>
      </c>
      <c r="G474" s="16">
        <f t="shared" si="48"/>
        <v>0</v>
      </c>
      <c r="H474" s="16">
        <f t="shared" si="49"/>
        <v>0</v>
      </c>
      <c r="I474" s="22">
        <f t="shared" si="50"/>
        <v>919.68111955999041</v>
      </c>
      <c r="J474" s="22">
        <f t="shared" si="51"/>
        <v>2800.1725539600188</v>
      </c>
      <c r="K474" s="22">
        <f t="shared" si="52"/>
        <v>24480.784504731979</v>
      </c>
    </row>
    <row r="475" spans="1:11" x14ac:dyDescent="0.2">
      <c r="A475" s="19">
        <v>46227</v>
      </c>
      <c r="B475" s="15">
        <v>4.3330000000000002</v>
      </c>
      <c r="C475" s="15">
        <v>4.6779999999999999</v>
      </c>
      <c r="D475" s="16">
        <v>-1.499999999999968</v>
      </c>
      <c r="E475" s="16">
        <v>-1.6000000000000014</v>
      </c>
      <c r="F475" s="16">
        <f t="shared" si="47"/>
        <v>0</v>
      </c>
      <c r="G475" s="16">
        <f t="shared" si="48"/>
        <v>0</v>
      </c>
      <c r="H475" s="16">
        <f t="shared" si="49"/>
        <v>0</v>
      </c>
      <c r="I475" s="22">
        <f t="shared" si="50"/>
        <v>-281.75049899999397</v>
      </c>
      <c r="J475" s="22">
        <f t="shared" si="51"/>
        <v>-1182.0042009600011</v>
      </c>
      <c r="K475" s="22">
        <f t="shared" si="52"/>
        <v>-8736.8316303593274</v>
      </c>
    </row>
    <row r="476" spans="1:11" x14ac:dyDescent="0.2">
      <c r="A476" s="19">
        <v>46230</v>
      </c>
      <c r="B476" s="15">
        <v>4.3230000000000004</v>
      </c>
      <c r="C476" s="15">
        <v>4.6500000000000004</v>
      </c>
      <c r="D476" s="16">
        <v>-0.99999999999997868</v>
      </c>
      <c r="E476" s="16">
        <v>-2.7999999999999581</v>
      </c>
      <c r="F476" s="16">
        <f t="shared" si="47"/>
        <v>0</v>
      </c>
      <c r="G476" s="16">
        <f t="shared" si="48"/>
        <v>0</v>
      </c>
      <c r="H476" s="16">
        <f t="shared" si="49"/>
        <v>0</v>
      </c>
      <c r="I476" s="22">
        <f t="shared" si="50"/>
        <v>-187.82244399999598</v>
      </c>
      <c r="J476" s="22">
        <f t="shared" si="51"/>
        <v>-2069.6678654399689</v>
      </c>
      <c r="K476" s="22">
        <f t="shared" si="52"/>
        <v>-10715.26998016303</v>
      </c>
    </row>
    <row r="477" spans="1:11" x14ac:dyDescent="0.2">
      <c r="A477" s="19">
        <v>46231</v>
      </c>
      <c r="B477" s="15">
        <v>4.2880000000000003</v>
      </c>
      <c r="C477" s="15">
        <v>4.6070000000000002</v>
      </c>
      <c r="D477" s="16">
        <v>-3.5000000000000142</v>
      </c>
      <c r="E477" s="16">
        <v>-4.3000000000000149</v>
      </c>
      <c r="F477" s="16">
        <f t="shared" si="47"/>
        <v>0</v>
      </c>
      <c r="G477" s="16">
        <f t="shared" si="48"/>
        <v>0</v>
      </c>
      <c r="H477" s="16">
        <f t="shared" si="49"/>
        <v>0</v>
      </c>
      <c r="I477" s="22">
        <f t="shared" si="50"/>
        <v>-657.57493900000259</v>
      </c>
      <c r="J477" s="22">
        <f t="shared" si="51"/>
        <v>-3180.6462795900111</v>
      </c>
      <c r="K477" s="22">
        <f t="shared" si="52"/>
        <v>-22001.094377068664</v>
      </c>
    </row>
    <row r="478" spans="1:11" x14ac:dyDescent="0.2">
      <c r="A478" s="19">
        <v>46232</v>
      </c>
      <c r="B478" s="15">
        <v>4.274</v>
      </c>
      <c r="C478" s="15">
        <v>4.6790000000000003</v>
      </c>
      <c r="D478" s="16">
        <v>-1.4000000000000234</v>
      </c>
      <c r="E478" s="16">
        <v>7.2000000000000064</v>
      </c>
      <c r="F478" s="16">
        <f t="shared" si="47"/>
        <v>0</v>
      </c>
      <c r="G478" s="16">
        <f t="shared" si="48"/>
        <v>1</v>
      </c>
      <c r="H478" s="16">
        <f t="shared" si="49"/>
        <v>0</v>
      </c>
      <c r="I478" s="22">
        <f t="shared" si="50"/>
        <v>-262.96399024000436</v>
      </c>
      <c r="J478" s="22">
        <f t="shared" si="51"/>
        <v>5297.1349305600042</v>
      </c>
      <c r="K478" s="22">
        <f t="shared" si="52"/>
        <v>16269.613702871802</v>
      </c>
    </row>
    <row r="479" spans="1:11" x14ac:dyDescent="0.2">
      <c r="A479" s="19">
        <v>46233</v>
      </c>
      <c r="B479" s="15">
        <v>4.2469999999999999</v>
      </c>
      <c r="C479" s="15">
        <v>4.6740000000000004</v>
      </c>
      <c r="D479" s="16">
        <v>-2.7000000000000135</v>
      </c>
      <c r="E479" s="16">
        <v>-0.49999999999998934</v>
      </c>
      <c r="F479" s="16">
        <f t="shared" si="47"/>
        <v>0</v>
      </c>
      <c r="G479" s="16">
        <f t="shared" si="48"/>
        <v>0</v>
      </c>
      <c r="H479" s="16">
        <f t="shared" si="49"/>
        <v>0</v>
      </c>
      <c r="I479" s="22">
        <f t="shared" si="50"/>
        <v>-507.22361676000241</v>
      </c>
      <c r="J479" s="22">
        <f t="shared" si="51"/>
        <v>-369.18634774999214</v>
      </c>
      <c r="K479" s="22">
        <f t="shared" si="52"/>
        <v>-9017.1837577827609</v>
      </c>
    </row>
    <row r="480" spans="1:11" x14ac:dyDescent="0.2">
      <c r="A480" s="19">
        <v>46234</v>
      </c>
      <c r="B480" s="15">
        <v>4.2919999999999998</v>
      </c>
      <c r="C480" s="15">
        <v>4.7359999999999998</v>
      </c>
      <c r="D480" s="16">
        <v>4.4999999999999929</v>
      </c>
      <c r="E480" s="16">
        <v>6.1999999999999389</v>
      </c>
      <c r="F480" s="16">
        <f t="shared" si="47"/>
        <v>0</v>
      </c>
      <c r="G480" s="16">
        <f t="shared" si="48"/>
        <v>1</v>
      </c>
      <c r="H480" s="16">
        <f t="shared" si="49"/>
        <v>0</v>
      </c>
      <c r="I480" s="22">
        <f t="shared" si="50"/>
        <v>844.6455089999987</v>
      </c>
      <c r="J480" s="22">
        <f t="shared" si="51"/>
        <v>4563.5631699599544</v>
      </c>
      <c r="K480" s="22">
        <f t="shared" si="52"/>
        <v>30084.417733587346</v>
      </c>
    </row>
    <row r="481" spans="1:11" x14ac:dyDescent="0.2">
      <c r="A481" s="19">
        <v>46237</v>
      </c>
      <c r="B481" s="15">
        <v>4.2380000000000004</v>
      </c>
      <c r="C481" s="15">
        <v>4.6779999999999999</v>
      </c>
      <c r="D481" s="16">
        <v>-5.3999999999999382</v>
      </c>
      <c r="E481" s="16">
        <v>-5.7999999999999829</v>
      </c>
      <c r="F481" s="16">
        <f t="shared" si="47"/>
        <v>1</v>
      </c>
      <c r="G481" s="16">
        <f t="shared" si="48"/>
        <v>1</v>
      </c>
      <c r="H481" s="16">
        <f t="shared" si="49"/>
        <v>1</v>
      </c>
      <c r="I481" s="22">
        <f t="shared" si="50"/>
        <v>-1014.7744670399883</v>
      </c>
      <c r="J481" s="22">
        <f t="shared" si="51"/>
        <v>-4293.178953239988</v>
      </c>
      <c r="K481" s="22">
        <f t="shared" si="52"/>
        <v>-31604.55538446334</v>
      </c>
    </row>
    <row r="482" spans="1:11" x14ac:dyDescent="0.2">
      <c r="A482" s="19">
        <v>46238</v>
      </c>
      <c r="B482" s="15">
        <v>4.1929999999999996</v>
      </c>
      <c r="C482" s="15">
        <v>4.6150000000000002</v>
      </c>
      <c r="D482" s="16">
        <v>-4.5000000000000817</v>
      </c>
      <c r="E482" s="16">
        <v>-6.2999999999999723</v>
      </c>
      <c r="F482" s="16">
        <f t="shared" si="47"/>
        <v>0</v>
      </c>
      <c r="G482" s="16">
        <f t="shared" si="48"/>
        <v>1</v>
      </c>
      <c r="H482" s="16">
        <f t="shared" si="49"/>
        <v>0</v>
      </c>
      <c r="I482" s="22">
        <f t="shared" si="50"/>
        <v>-845.55449100001522</v>
      </c>
      <c r="J482" s="22">
        <f t="shared" si="51"/>
        <v>-4664.3685687899797</v>
      </c>
      <c r="K482" s="22">
        <f t="shared" si="52"/>
        <v>-30482.729798326389</v>
      </c>
    </row>
    <row r="483" spans="1:11" x14ac:dyDescent="0.2">
      <c r="A483" s="19">
        <v>46239</v>
      </c>
      <c r="B483" s="15">
        <v>4.1829999999999998</v>
      </c>
      <c r="C483" s="15">
        <v>4.6150000000000002</v>
      </c>
      <c r="D483" s="16">
        <v>-0.99999999999997868</v>
      </c>
      <c r="E483" s="16">
        <v>0</v>
      </c>
      <c r="F483" s="16">
        <f t="shared" si="47"/>
        <v>0</v>
      </c>
      <c r="G483" s="16">
        <f t="shared" si="48"/>
        <v>0</v>
      </c>
      <c r="H483" s="16">
        <f t="shared" si="49"/>
        <v>0</v>
      </c>
      <c r="I483" s="22">
        <f t="shared" si="50"/>
        <v>-187.82244399999598</v>
      </c>
      <c r="J483" s="22">
        <f t="shared" si="51"/>
        <v>0</v>
      </c>
      <c r="K483" s="22">
        <f t="shared" si="52"/>
        <v>-2817.3366599999399</v>
      </c>
    </row>
    <row r="484" spans="1:11" x14ac:dyDescent="0.2">
      <c r="A484" s="19">
        <v>46240</v>
      </c>
      <c r="B484" s="15">
        <v>4.2489999999999997</v>
      </c>
      <c r="C484" s="15">
        <v>4.681</v>
      </c>
      <c r="D484" s="16">
        <v>6.5999999999999837</v>
      </c>
      <c r="E484" s="16">
        <v>6.5999999999999837</v>
      </c>
      <c r="F484" s="16">
        <f t="shared" si="47"/>
        <v>1</v>
      </c>
      <c r="G484" s="16">
        <f t="shared" si="48"/>
        <v>1</v>
      </c>
      <c r="H484" s="16">
        <f t="shared" si="49"/>
        <v>1</v>
      </c>
      <c r="I484" s="22">
        <f t="shared" si="50"/>
        <v>1238.5023393599968</v>
      </c>
      <c r="J484" s="22">
        <f t="shared" si="51"/>
        <v>4857.0747680399882</v>
      </c>
      <c r="K484" s="22">
        <f t="shared" si="52"/>
        <v>37112.321898268608</v>
      </c>
    </row>
    <row r="485" spans="1:11" x14ac:dyDescent="0.2">
      <c r="A485" s="19">
        <v>46241</v>
      </c>
      <c r="B485" s="15">
        <v>4.1959999999999997</v>
      </c>
      <c r="C485" s="15">
        <v>4.6459999999999999</v>
      </c>
      <c r="D485" s="16">
        <v>-5.2999999999999936</v>
      </c>
      <c r="E485" s="16">
        <v>-3.5000000000000142</v>
      </c>
      <c r="F485" s="16">
        <f t="shared" si="47"/>
        <v>1</v>
      </c>
      <c r="G485" s="16">
        <f t="shared" si="48"/>
        <v>0</v>
      </c>
      <c r="H485" s="16">
        <f t="shared" si="49"/>
        <v>0</v>
      </c>
      <c r="I485" s="22">
        <f t="shared" si="50"/>
        <v>-995.97045195999874</v>
      </c>
      <c r="J485" s="22">
        <f t="shared" si="51"/>
        <v>-2587.9310397500103</v>
      </c>
      <c r="K485" s="22">
        <f t="shared" si="52"/>
        <v>-24815.20259215503</v>
      </c>
    </row>
    <row r="486" spans="1:11" x14ac:dyDescent="0.2">
      <c r="A486" s="19">
        <v>46244</v>
      </c>
      <c r="B486" s="15">
        <v>4.2430000000000003</v>
      </c>
      <c r="C486" s="15">
        <v>4.7080000000000002</v>
      </c>
      <c r="D486" s="16">
        <v>4.7000000000000597</v>
      </c>
      <c r="E486" s="16">
        <v>6.2000000000000277</v>
      </c>
      <c r="F486" s="16">
        <f t="shared" si="47"/>
        <v>0</v>
      </c>
      <c r="G486" s="16">
        <f t="shared" si="48"/>
        <v>1</v>
      </c>
      <c r="H486" s="16">
        <f t="shared" si="49"/>
        <v>0</v>
      </c>
      <c r="I486" s="22">
        <f t="shared" si="50"/>
        <v>882.16421204001108</v>
      </c>
      <c r="J486" s="22">
        <f t="shared" si="51"/>
        <v>4563.5631699600208</v>
      </c>
      <c r="K486" s="22">
        <f t="shared" si="52"/>
        <v>30647.198279187782</v>
      </c>
    </row>
    <row r="487" spans="1:11" x14ac:dyDescent="0.2">
      <c r="A487" s="19">
        <v>46245</v>
      </c>
      <c r="B487" s="15">
        <v>4.2160000000000002</v>
      </c>
      <c r="C487" s="15">
        <v>4.6900000000000004</v>
      </c>
      <c r="D487" s="16">
        <v>-2.7000000000000135</v>
      </c>
      <c r="E487" s="16">
        <v>-1.7999999999999794</v>
      </c>
      <c r="F487" s="16">
        <f t="shared" si="47"/>
        <v>0</v>
      </c>
      <c r="G487" s="16">
        <f t="shared" si="48"/>
        <v>0</v>
      </c>
      <c r="H487" s="16">
        <f t="shared" si="49"/>
        <v>0</v>
      </c>
      <c r="I487" s="22">
        <f t="shared" si="50"/>
        <v>-507.22361676000241</v>
      </c>
      <c r="J487" s="22">
        <f t="shared" si="51"/>
        <v>-1329.8790668399845</v>
      </c>
      <c r="K487" s="22">
        <f t="shared" si="52"/>
        <v>-12683.224654120486</v>
      </c>
    </row>
    <row r="488" spans="1:11" x14ac:dyDescent="0.2">
      <c r="A488" s="19">
        <v>46246</v>
      </c>
      <c r="B488" s="15">
        <v>4.202</v>
      </c>
      <c r="C488" s="15">
        <v>4.6950000000000003</v>
      </c>
      <c r="D488" s="16">
        <v>-1.4000000000000234</v>
      </c>
      <c r="E488" s="16">
        <v>0.49999999999998934</v>
      </c>
      <c r="F488" s="16">
        <f t="shared" si="47"/>
        <v>0</v>
      </c>
      <c r="G488" s="16">
        <f t="shared" si="48"/>
        <v>0</v>
      </c>
      <c r="H488" s="16">
        <f t="shared" si="49"/>
        <v>0</v>
      </c>
      <c r="I488" s="22">
        <f t="shared" si="50"/>
        <v>-262.96399024000436</v>
      </c>
      <c r="J488" s="22">
        <f t="shared" si="51"/>
        <v>369.01365224999211</v>
      </c>
      <c r="K488" s="22">
        <f t="shared" si="52"/>
        <v>-2536.2893599828512</v>
      </c>
    </row>
    <row r="489" spans="1:11" x14ac:dyDescent="0.2">
      <c r="A489" s="19">
        <v>46247</v>
      </c>
      <c r="B489" s="15">
        <v>4.1429999999999998</v>
      </c>
      <c r="C489" s="15">
        <v>4.6440000000000001</v>
      </c>
      <c r="D489" s="16">
        <v>-5.9000000000000163</v>
      </c>
      <c r="E489" s="16">
        <v>-5.1000000000000156</v>
      </c>
      <c r="F489" s="16">
        <f t="shared" si="47"/>
        <v>1</v>
      </c>
      <c r="G489" s="16">
        <f t="shared" si="48"/>
        <v>1</v>
      </c>
      <c r="H489" s="16">
        <f t="shared" si="49"/>
        <v>1</v>
      </c>
      <c r="I489" s="22">
        <f t="shared" si="50"/>
        <v>-1108.801275640003</v>
      </c>
      <c r="J489" s="22">
        <f t="shared" si="51"/>
        <v>-3773.8036199100115</v>
      </c>
      <c r="K489" s="22">
        <f t="shared" si="52"/>
        <v>-31033.000978661956</v>
      </c>
    </row>
    <row r="490" spans="1:11" x14ac:dyDescent="0.2">
      <c r="A490" s="19">
        <v>46248</v>
      </c>
      <c r="B490" s="15">
        <v>4.1710000000000003</v>
      </c>
      <c r="C490" s="15">
        <v>4.6929999999999996</v>
      </c>
      <c r="D490" s="16">
        <v>2.8000000000000469</v>
      </c>
      <c r="E490" s="16">
        <v>4.8999999999999488</v>
      </c>
      <c r="F490" s="16">
        <f t="shared" si="47"/>
        <v>0</v>
      </c>
      <c r="G490" s="16">
        <f t="shared" si="48"/>
        <v>0</v>
      </c>
      <c r="H490" s="16">
        <f t="shared" si="49"/>
        <v>0</v>
      </c>
      <c r="I490" s="22">
        <f t="shared" si="50"/>
        <v>525.66403904000879</v>
      </c>
      <c r="J490" s="22">
        <f t="shared" si="51"/>
        <v>3608.8871620899622</v>
      </c>
      <c r="K490" s="22">
        <f t="shared" si="52"/>
        <v>21656.614792600161</v>
      </c>
    </row>
    <row r="491" spans="1:11" x14ac:dyDescent="0.2">
      <c r="A491" s="19">
        <v>46251</v>
      </c>
      <c r="B491" s="15">
        <v>4.1769999999999996</v>
      </c>
      <c r="C491" s="15">
        <v>4.7229999999999999</v>
      </c>
      <c r="D491" s="16">
        <v>0.59999999999993392</v>
      </c>
      <c r="E491" s="16">
        <v>3.0000000000000249</v>
      </c>
      <c r="F491" s="16">
        <f t="shared" si="47"/>
        <v>0</v>
      </c>
      <c r="G491" s="16">
        <f t="shared" si="48"/>
        <v>0</v>
      </c>
      <c r="H491" s="16">
        <f t="shared" si="49"/>
        <v>0</v>
      </c>
      <c r="I491" s="22">
        <f t="shared" si="50"/>
        <v>112.67192015998758</v>
      </c>
      <c r="J491" s="22">
        <f t="shared" si="51"/>
        <v>2211.4914810000182</v>
      </c>
      <c r="K491" s="22">
        <f t="shared" si="52"/>
        <v>10129.216572620689</v>
      </c>
    </row>
    <row r="492" spans="1:11" x14ac:dyDescent="0.2">
      <c r="A492" s="19">
        <v>46252</v>
      </c>
      <c r="B492" s="15">
        <v>4.1719999999999997</v>
      </c>
      <c r="C492" s="15">
        <v>4.7050000000000001</v>
      </c>
      <c r="D492" s="16">
        <v>-0.49999999999998934</v>
      </c>
      <c r="E492" s="16">
        <v>-1.7999999999999794</v>
      </c>
      <c r="F492" s="16">
        <f t="shared" si="47"/>
        <v>0</v>
      </c>
      <c r="G492" s="16">
        <f t="shared" si="48"/>
        <v>0</v>
      </c>
      <c r="H492" s="16">
        <f t="shared" si="49"/>
        <v>0</v>
      </c>
      <c r="I492" s="22">
        <f t="shared" si="50"/>
        <v>-93.90561099999799</v>
      </c>
      <c r="J492" s="22">
        <f t="shared" si="51"/>
        <v>-1329.8790668399845</v>
      </c>
      <c r="K492" s="22">
        <f t="shared" si="52"/>
        <v>-6483.4545677204187</v>
      </c>
    </row>
    <row r="493" spans="1:11" x14ac:dyDescent="0.2">
      <c r="A493" s="19">
        <v>46253</v>
      </c>
      <c r="B493" s="15">
        <v>4.1639999999999997</v>
      </c>
      <c r="C493" s="15">
        <v>4.6479999999999997</v>
      </c>
      <c r="D493" s="16">
        <v>-0.80000000000000071</v>
      </c>
      <c r="E493" s="16">
        <v>-5.7000000000000384</v>
      </c>
      <c r="F493" s="16">
        <f t="shared" si="47"/>
        <v>0</v>
      </c>
      <c r="G493" s="16">
        <f t="shared" si="48"/>
        <v>1</v>
      </c>
      <c r="H493" s="16">
        <f t="shared" si="49"/>
        <v>0</v>
      </c>
      <c r="I493" s="22">
        <f t="shared" si="50"/>
        <v>-150.25436416000014</v>
      </c>
      <c r="J493" s="22">
        <f t="shared" si="51"/>
        <v>-4218.9617535900279</v>
      </c>
      <c r="K493" s="22">
        <f t="shared" si="52"/>
        <v>-18353.538111902992</v>
      </c>
    </row>
    <row r="494" spans="1:11" x14ac:dyDescent="0.2">
      <c r="A494" s="19">
        <v>46254</v>
      </c>
      <c r="B494" s="15">
        <v>4.1900000000000004</v>
      </c>
      <c r="C494" s="15">
        <v>4.7060000000000004</v>
      </c>
      <c r="D494" s="16">
        <v>2.6000000000000689</v>
      </c>
      <c r="E494" s="16">
        <v>5.8000000000000718</v>
      </c>
      <c r="F494" s="16">
        <f t="shared" si="47"/>
        <v>0</v>
      </c>
      <c r="G494" s="16">
        <f t="shared" si="48"/>
        <v>1</v>
      </c>
      <c r="H494" s="16">
        <f t="shared" si="49"/>
        <v>0</v>
      </c>
      <c r="I494" s="22">
        <f t="shared" si="50"/>
        <v>488.12827856001292</v>
      </c>
      <c r="J494" s="22">
        <f t="shared" si="51"/>
        <v>4269.9410467600528</v>
      </c>
      <c r="K494" s="22">
        <f t="shared" si="52"/>
        <v>23616.185799536834</v>
      </c>
    </row>
    <row r="495" spans="1:11" x14ac:dyDescent="0.2">
      <c r="A495" s="19">
        <v>46255</v>
      </c>
      <c r="B495" s="15">
        <v>4.2370000000000001</v>
      </c>
      <c r="C495" s="15">
        <v>4.7350000000000003</v>
      </c>
      <c r="D495" s="16">
        <v>4.6999999999999709</v>
      </c>
      <c r="E495" s="16">
        <v>2.8999999999999915</v>
      </c>
      <c r="F495" s="16">
        <f t="shared" si="47"/>
        <v>0</v>
      </c>
      <c r="G495" s="16">
        <f t="shared" si="48"/>
        <v>0</v>
      </c>
      <c r="H495" s="16">
        <f t="shared" si="49"/>
        <v>0</v>
      </c>
      <c r="I495" s="22">
        <f t="shared" si="50"/>
        <v>882.16421203999448</v>
      </c>
      <c r="J495" s="22">
        <f t="shared" si="51"/>
        <v>2137.8752616899937</v>
      </c>
      <c r="K495" s="22">
        <f t="shared" si="52"/>
        <v>21390.678585884005</v>
      </c>
    </row>
    <row r="496" spans="1:11" x14ac:dyDescent="0.2">
      <c r="A496" s="19">
        <v>46258</v>
      </c>
      <c r="B496" s="15">
        <v>4.234</v>
      </c>
      <c r="C496" s="15">
        <v>4.6980000000000004</v>
      </c>
      <c r="D496" s="16">
        <v>-0.30000000000001137</v>
      </c>
      <c r="E496" s="16">
        <v>-3.6999999999999922</v>
      </c>
      <c r="F496" s="16">
        <f t="shared" si="47"/>
        <v>0</v>
      </c>
      <c r="G496" s="16">
        <f t="shared" si="48"/>
        <v>0</v>
      </c>
      <c r="H496" s="16">
        <f t="shared" si="49"/>
        <v>0</v>
      </c>
      <c r="I496" s="22">
        <f t="shared" si="50"/>
        <v>-56.342019960002141</v>
      </c>
      <c r="J496" s="22">
        <f t="shared" si="51"/>
        <v>-2736.0684027899947</v>
      </c>
      <c r="K496" s="22">
        <f t="shared" si="52"/>
        <v>-11286.074068919695</v>
      </c>
    </row>
    <row r="497" spans="1:11" x14ac:dyDescent="0.2">
      <c r="A497" s="19">
        <v>46259</v>
      </c>
      <c r="B497" s="15">
        <v>4.1749999999999998</v>
      </c>
      <c r="C497" s="15">
        <v>4.63</v>
      </c>
      <c r="D497" s="16">
        <v>-5.9000000000000163</v>
      </c>
      <c r="E497" s="16">
        <v>-6.8000000000000504</v>
      </c>
      <c r="F497" s="16">
        <f t="shared" si="47"/>
        <v>1</v>
      </c>
      <c r="G497" s="16">
        <f t="shared" si="48"/>
        <v>1</v>
      </c>
      <c r="H497" s="16">
        <f t="shared" si="49"/>
        <v>1</v>
      </c>
      <c r="I497" s="22">
        <f t="shared" si="50"/>
        <v>-1108.801275640003</v>
      </c>
      <c r="J497" s="22">
        <f t="shared" si="51"/>
        <v>-5035.7308798400381</v>
      </c>
      <c r="K497" s="22">
        <f t="shared" si="52"/>
        <v>-35848.564635154617</v>
      </c>
    </row>
    <row r="498" spans="1:11" x14ac:dyDescent="0.2">
      <c r="A498" s="19">
        <v>46260</v>
      </c>
      <c r="B498" s="15">
        <v>4.2110000000000003</v>
      </c>
      <c r="C498" s="15">
        <v>4.6479999999999997</v>
      </c>
      <c r="D498" s="16">
        <v>3.6000000000000476</v>
      </c>
      <c r="E498" s="16">
        <v>1.7999999999999794</v>
      </c>
      <c r="F498" s="16">
        <f t="shared" si="47"/>
        <v>0</v>
      </c>
      <c r="G498" s="16">
        <f t="shared" si="48"/>
        <v>0</v>
      </c>
      <c r="H498" s="16">
        <f t="shared" si="49"/>
        <v>0</v>
      </c>
      <c r="I498" s="22">
        <f t="shared" si="50"/>
        <v>675.78912576000891</v>
      </c>
      <c r="J498" s="22">
        <f t="shared" si="51"/>
        <v>1327.6409331599848</v>
      </c>
      <c r="K498" s="22">
        <f t="shared" si="52"/>
        <v>15203.166483679564</v>
      </c>
    </row>
    <row r="499" spans="1:11" x14ac:dyDescent="0.2">
      <c r="A499" s="19">
        <v>46261</v>
      </c>
      <c r="B499" s="15">
        <v>4.2329999999999997</v>
      </c>
      <c r="C499" s="15">
        <v>4.6769999999999996</v>
      </c>
      <c r="D499" s="16">
        <v>2.1999999999999353</v>
      </c>
      <c r="E499" s="16">
        <v>2.8999999999999915</v>
      </c>
      <c r="F499" s="16">
        <f t="shared" si="47"/>
        <v>0</v>
      </c>
      <c r="G499" s="16">
        <f t="shared" si="48"/>
        <v>0</v>
      </c>
      <c r="H499" s="16">
        <f t="shared" si="49"/>
        <v>0</v>
      </c>
      <c r="I499" s="22">
        <f t="shared" si="50"/>
        <v>413.05137103998783</v>
      </c>
      <c r="J499" s="22">
        <f t="shared" si="51"/>
        <v>2137.8752616899937</v>
      </c>
      <c r="K499" s="22">
        <f t="shared" si="52"/>
        <v>14353.985970883903</v>
      </c>
    </row>
    <row r="500" spans="1:11" x14ac:dyDescent="0.2">
      <c r="A500" s="19">
        <v>46262</v>
      </c>
      <c r="B500" s="15">
        <v>4.3449999999999998</v>
      </c>
      <c r="C500" s="15">
        <v>4.72</v>
      </c>
      <c r="D500" s="16">
        <v>11.20000000000001</v>
      </c>
      <c r="E500" s="16">
        <v>4.3000000000000149</v>
      </c>
      <c r="F500" s="16">
        <f t="shared" si="47"/>
        <v>1</v>
      </c>
      <c r="G500" s="16">
        <f t="shared" si="48"/>
        <v>0</v>
      </c>
      <c r="H500" s="16">
        <f t="shared" si="49"/>
        <v>0</v>
      </c>
      <c r="I500" s="22">
        <f t="shared" si="50"/>
        <v>2100.544624640002</v>
      </c>
      <c r="J500" s="22">
        <f t="shared" si="51"/>
        <v>3167.8737204100112</v>
      </c>
      <c r="K500" s="22">
        <f t="shared" si="52"/>
        <v>43596.899077531489</v>
      </c>
    </row>
    <row r="501" spans="1:11" x14ac:dyDescent="0.2">
      <c r="A501" s="19">
        <v>46265</v>
      </c>
      <c r="B501" s="15">
        <v>4.343</v>
      </c>
      <c r="C501" s="15">
        <v>4.7510000000000003</v>
      </c>
      <c r="D501" s="16">
        <v>-0.19999999999997797</v>
      </c>
      <c r="E501" s="16">
        <v>3.1000000000000583</v>
      </c>
      <c r="F501" s="16">
        <f t="shared" si="47"/>
        <v>0</v>
      </c>
      <c r="G501" s="16">
        <f t="shared" si="48"/>
        <v>0</v>
      </c>
      <c r="H501" s="16">
        <f t="shared" si="49"/>
        <v>0</v>
      </c>
      <c r="I501" s="22">
        <f t="shared" si="50"/>
        <v>-37.560897759995861</v>
      </c>
      <c r="J501" s="22">
        <f t="shared" si="51"/>
        <v>2285.1007924900427</v>
      </c>
      <c r="K501" s="22">
        <f t="shared" si="52"/>
        <v>8156.6203082471093</v>
      </c>
    </row>
    <row r="502" spans="1:11" x14ac:dyDescent="0.2">
      <c r="A502" s="19">
        <v>46266</v>
      </c>
      <c r="B502" s="15">
        <v>4.4009999999999998</v>
      </c>
      <c r="C502" s="15">
        <v>4.7990000000000004</v>
      </c>
      <c r="D502" s="16">
        <v>5.7999999999999829</v>
      </c>
      <c r="E502" s="16">
        <v>4.8000000000000043</v>
      </c>
      <c r="F502" s="16">
        <f t="shared" si="47"/>
        <v>1</v>
      </c>
      <c r="G502" s="16">
        <f t="shared" si="48"/>
        <v>0</v>
      </c>
      <c r="H502" s="16">
        <f t="shared" si="49"/>
        <v>0</v>
      </c>
      <c r="I502" s="22">
        <f t="shared" si="50"/>
        <v>1088.4849838399966</v>
      </c>
      <c r="J502" s="22">
        <f t="shared" si="51"/>
        <v>3535.4021913600027</v>
      </c>
      <c r="K502" s="22">
        <f t="shared" si="52"/>
        <v>29818.507449365225</v>
      </c>
    </row>
    <row r="503" spans="1:11" x14ac:dyDescent="0.2">
      <c r="A503" s="19">
        <v>46267</v>
      </c>
      <c r="B503" s="15">
        <v>4.37</v>
      </c>
      <c r="C503" s="15">
        <v>4.78</v>
      </c>
      <c r="D503" s="16">
        <v>-3.0999999999999694</v>
      </c>
      <c r="E503" s="16">
        <v>-1.9000000000000128</v>
      </c>
      <c r="F503" s="16">
        <f t="shared" si="47"/>
        <v>0</v>
      </c>
      <c r="G503" s="16">
        <f t="shared" si="48"/>
        <v>0</v>
      </c>
      <c r="H503" s="16">
        <f t="shared" si="49"/>
        <v>0</v>
      </c>
      <c r="I503" s="22">
        <f t="shared" si="50"/>
        <v>-582.39568683999414</v>
      </c>
      <c r="J503" s="22">
        <f t="shared" si="51"/>
        <v>-1403.8268615100094</v>
      </c>
      <c r="K503" s="22">
        <f t="shared" si="52"/>
        <v>-14092.993374766935</v>
      </c>
    </row>
    <row r="504" spans="1:11" x14ac:dyDescent="0.2">
      <c r="A504" s="19">
        <v>46268</v>
      </c>
      <c r="B504" s="15">
        <v>4.3380000000000001</v>
      </c>
      <c r="C504" s="15">
        <v>4.7690000000000001</v>
      </c>
      <c r="D504" s="16">
        <v>-3.2000000000000028</v>
      </c>
      <c r="E504" s="16">
        <v>-1.1000000000000121</v>
      </c>
      <c r="F504" s="16">
        <f t="shared" si="47"/>
        <v>0</v>
      </c>
      <c r="G504" s="16">
        <f t="shared" si="48"/>
        <v>0</v>
      </c>
      <c r="H504" s="16">
        <f t="shared" si="49"/>
        <v>0</v>
      </c>
      <c r="I504" s="22">
        <f t="shared" si="50"/>
        <v>-601.1898265600006</v>
      </c>
      <c r="J504" s="22">
        <f t="shared" si="51"/>
        <v>-812.43792311000902</v>
      </c>
      <c r="K504" s="22">
        <f t="shared" si="52"/>
        <v>-12118.142209292579</v>
      </c>
    </row>
    <row r="505" spans="1:11" x14ac:dyDescent="0.2">
      <c r="A505" s="19">
        <v>46269</v>
      </c>
      <c r="B505" s="15">
        <v>4.367</v>
      </c>
      <c r="C505" s="15">
        <v>4.7830000000000004</v>
      </c>
      <c r="D505" s="16">
        <v>2.8999999999999915</v>
      </c>
      <c r="E505" s="16">
        <v>1.4000000000000234</v>
      </c>
      <c r="F505" s="16">
        <f t="shared" si="47"/>
        <v>0</v>
      </c>
      <c r="G505" s="16">
        <f t="shared" si="48"/>
        <v>0</v>
      </c>
      <c r="H505" s="16">
        <f t="shared" si="49"/>
        <v>0</v>
      </c>
      <c r="I505" s="22">
        <f t="shared" si="50"/>
        <v>544.43124595999825</v>
      </c>
      <c r="J505" s="22">
        <f t="shared" si="51"/>
        <v>1032.803033640017</v>
      </c>
      <c r="K505" s="22">
        <f t="shared" si="52"/>
        <v>12107.685359359235</v>
      </c>
    </row>
    <row r="506" spans="1:11" x14ac:dyDescent="0.2">
      <c r="A506" s="19">
        <v>46272</v>
      </c>
      <c r="B506" s="15">
        <v>4.367</v>
      </c>
      <c r="C506" s="15">
        <v>4.7830000000000004</v>
      </c>
      <c r="D506" s="16">
        <v>0</v>
      </c>
      <c r="E506" s="16">
        <v>0</v>
      </c>
      <c r="F506" s="16">
        <f t="shared" si="47"/>
        <v>0</v>
      </c>
      <c r="G506" s="16">
        <f t="shared" si="48"/>
        <v>0</v>
      </c>
      <c r="H506" s="16">
        <f t="shared" si="49"/>
        <v>0</v>
      </c>
      <c r="I506" s="22">
        <f t="shared" si="50"/>
        <v>0</v>
      </c>
      <c r="J506" s="22">
        <f t="shared" si="51"/>
        <v>0</v>
      </c>
      <c r="K506" s="22">
        <f t="shared" si="52"/>
        <v>0</v>
      </c>
    </row>
    <row r="507" spans="1:11" x14ac:dyDescent="0.2">
      <c r="A507" s="19">
        <v>46273</v>
      </c>
      <c r="B507" s="15">
        <v>4.3949999999999996</v>
      </c>
      <c r="C507" s="15">
        <v>4.79</v>
      </c>
      <c r="D507" s="16">
        <v>2.7999999999999581</v>
      </c>
      <c r="E507" s="16">
        <v>0.69999999999996732</v>
      </c>
      <c r="F507" s="16">
        <f t="shared" si="47"/>
        <v>0</v>
      </c>
      <c r="G507" s="16">
        <f t="shared" si="48"/>
        <v>0</v>
      </c>
      <c r="H507" s="16">
        <f t="shared" si="49"/>
        <v>0</v>
      </c>
      <c r="I507" s="22">
        <f t="shared" si="50"/>
        <v>525.66403903999208</v>
      </c>
      <c r="J507" s="22">
        <f t="shared" si="51"/>
        <v>516.57075840997584</v>
      </c>
      <c r="K507" s="22">
        <f t="shared" si="52"/>
        <v>9856.2147530895891</v>
      </c>
    </row>
    <row r="508" spans="1:11" x14ac:dyDescent="0.2">
      <c r="A508" s="19">
        <v>46274</v>
      </c>
      <c r="B508" s="15">
        <v>4.4320000000000004</v>
      </c>
      <c r="C508" s="15">
        <v>4.8419999999999996</v>
      </c>
      <c r="D508" s="16">
        <v>3.700000000000081</v>
      </c>
      <c r="E508" s="16">
        <v>5.1999999999999602</v>
      </c>
      <c r="F508" s="16">
        <f t="shared" si="47"/>
        <v>0</v>
      </c>
      <c r="G508" s="16">
        <f t="shared" si="48"/>
        <v>1</v>
      </c>
      <c r="H508" s="16">
        <f t="shared" si="49"/>
        <v>0</v>
      </c>
      <c r="I508" s="22">
        <f t="shared" si="50"/>
        <v>694.55274164001514</v>
      </c>
      <c r="J508" s="22">
        <f t="shared" si="51"/>
        <v>3829.3006273599703</v>
      </c>
      <c r="K508" s="22">
        <f t="shared" si="52"/>
        <v>25031.051714241294</v>
      </c>
    </row>
    <row r="509" spans="1:11" x14ac:dyDescent="0.2">
      <c r="A509" s="19">
        <v>46275</v>
      </c>
      <c r="B509" s="15">
        <v>4.5869999999999997</v>
      </c>
      <c r="C509" s="15">
        <v>4.9640000000000004</v>
      </c>
      <c r="D509" s="16">
        <v>15.499999999999936</v>
      </c>
      <c r="E509" s="16">
        <v>12.200000000000077</v>
      </c>
      <c r="F509" s="16">
        <f t="shared" si="47"/>
        <v>1</v>
      </c>
      <c r="G509" s="16">
        <f t="shared" si="48"/>
        <v>1</v>
      </c>
      <c r="H509" s="16">
        <f t="shared" si="49"/>
        <v>1</v>
      </c>
      <c r="I509" s="22">
        <f t="shared" si="50"/>
        <v>2905.5078289999879</v>
      </c>
      <c r="J509" s="22">
        <f t="shared" si="51"/>
        <v>8954.6320035600565</v>
      </c>
      <c r="K509" s="22">
        <f t="shared" si="52"/>
        <v>77753.842514962802</v>
      </c>
    </row>
    <row r="510" spans="1:11" x14ac:dyDescent="0.2">
      <c r="A510" s="19">
        <v>46276</v>
      </c>
      <c r="B510" s="15">
        <v>4.6260000000000003</v>
      </c>
      <c r="C510" s="15">
        <v>4.968</v>
      </c>
      <c r="D510" s="16">
        <v>3.900000000000059</v>
      </c>
      <c r="E510" s="16">
        <v>0.39999999999995595</v>
      </c>
      <c r="F510" s="16">
        <f t="shared" si="47"/>
        <v>0</v>
      </c>
      <c r="G510" s="16">
        <f t="shared" si="48"/>
        <v>0</v>
      </c>
      <c r="H510" s="16">
        <f t="shared" si="49"/>
        <v>0</v>
      </c>
      <c r="I510" s="22">
        <f t="shared" si="50"/>
        <v>732.07862676001105</v>
      </c>
      <c r="J510" s="22">
        <f t="shared" si="51"/>
        <v>295.2247374399675</v>
      </c>
      <c r="K510" s="22">
        <f t="shared" si="52"/>
        <v>12107.768517315078</v>
      </c>
    </row>
    <row r="511" spans="1:11" x14ac:dyDescent="0.2">
      <c r="A511" s="19">
        <v>46279</v>
      </c>
      <c r="B511" s="15">
        <v>4.66</v>
      </c>
      <c r="C511" s="15">
        <v>4.9880000000000004</v>
      </c>
      <c r="D511" s="16">
        <v>3.3999999999999808</v>
      </c>
      <c r="E511" s="16">
        <v>2.0000000000000462</v>
      </c>
      <c r="F511" s="16">
        <f t="shared" si="47"/>
        <v>0</v>
      </c>
      <c r="G511" s="16">
        <f t="shared" si="48"/>
        <v>0</v>
      </c>
      <c r="H511" s="16">
        <f t="shared" si="49"/>
        <v>0</v>
      </c>
      <c r="I511" s="22">
        <f t="shared" si="50"/>
        <v>638.26054735999628</v>
      </c>
      <c r="J511" s="22">
        <f t="shared" si="51"/>
        <v>1475.0184360000339</v>
      </c>
      <c r="K511" s="22">
        <f t="shared" si="52"/>
        <v>15202.636108275987</v>
      </c>
    </row>
    <row r="512" spans="1:11" x14ac:dyDescent="0.2">
      <c r="A512" s="19">
        <v>46280</v>
      </c>
      <c r="B512" s="15">
        <v>4.6639999999999997</v>
      </c>
      <c r="C512" s="15">
        <v>5.0030000000000001</v>
      </c>
      <c r="D512" s="16">
        <v>0.39999999999995595</v>
      </c>
      <c r="E512" s="16">
        <v>1.499999999999968</v>
      </c>
      <c r="F512" s="16">
        <f t="shared" si="47"/>
        <v>0</v>
      </c>
      <c r="G512" s="16">
        <f t="shared" si="48"/>
        <v>0</v>
      </c>
      <c r="H512" s="16">
        <f t="shared" si="49"/>
        <v>0</v>
      </c>
      <c r="I512" s="22">
        <f t="shared" si="50"/>
        <v>75.11640895999173</v>
      </c>
      <c r="J512" s="22">
        <f t="shared" si="51"/>
        <v>1106.5228702499764</v>
      </c>
      <c r="K512" s="22">
        <f t="shared" si="52"/>
        <v>5349.2805769549877</v>
      </c>
    </row>
    <row r="513" spans="1:11" x14ac:dyDescent="0.2">
      <c r="A513" s="19">
        <v>46281</v>
      </c>
      <c r="B513" s="15">
        <v>4.7380000000000004</v>
      </c>
      <c r="C513" s="15">
        <v>5.024</v>
      </c>
      <c r="D513" s="16">
        <v>7.4000000000000732</v>
      </c>
      <c r="E513" s="16">
        <v>2.0999999999999908</v>
      </c>
      <c r="F513" s="16">
        <f t="shared" si="47"/>
        <v>1</v>
      </c>
      <c r="G513" s="16">
        <f t="shared" si="48"/>
        <v>0</v>
      </c>
      <c r="H513" s="16">
        <f t="shared" si="49"/>
        <v>0</v>
      </c>
      <c r="I513" s="22">
        <f t="shared" si="50"/>
        <v>1388.4909665600137</v>
      </c>
      <c r="J513" s="22">
        <f t="shared" si="51"/>
        <v>1548.6968256899929</v>
      </c>
      <c r="K513" s="22">
        <f t="shared" si="52"/>
        <v>26737.252005808376</v>
      </c>
    </row>
    <row r="514" spans="1:11" x14ac:dyDescent="0.2">
      <c r="A514" s="19">
        <v>46282</v>
      </c>
      <c r="B514" s="15">
        <v>4.665</v>
      </c>
      <c r="C514" s="15">
        <v>4.9320000000000004</v>
      </c>
      <c r="D514" s="16">
        <v>-7.3000000000000398</v>
      </c>
      <c r="E514" s="16">
        <v>-9.1999999999999638</v>
      </c>
      <c r="F514" s="16">
        <f t="shared" si="47"/>
        <v>1</v>
      </c>
      <c r="G514" s="16">
        <f t="shared" si="48"/>
        <v>1</v>
      </c>
      <c r="H514" s="16">
        <f t="shared" si="49"/>
        <v>1</v>
      </c>
      <c r="I514" s="22">
        <f t="shared" si="50"/>
        <v>-1372.1360407600075</v>
      </c>
      <c r="J514" s="22">
        <f t="shared" si="51"/>
        <v>-6820.6738942399725</v>
      </c>
      <c r="K514" s="22">
        <f t="shared" si="52"/>
        <v>-46609.998292345655</v>
      </c>
    </row>
    <row r="515" spans="1:11" x14ac:dyDescent="0.2">
      <c r="A515" s="19">
        <v>46283</v>
      </c>
      <c r="B515" s="15">
        <v>4.7450000000000001</v>
      </c>
      <c r="C515" s="15">
        <v>4.9969999999999999</v>
      </c>
      <c r="D515" s="16">
        <v>8.0000000000000071</v>
      </c>
      <c r="E515" s="16">
        <v>6.4999999999999503</v>
      </c>
      <c r="F515" s="16">
        <f t="shared" si="47"/>
        <v>1</v>
      </c>
      <c r="G515" s="16">
        <f t="shared" si="48"/>
        <v>1</v>
      </c>
      <c r="H515" s="16">
        <f t="shared" si="49"/>
        <v>1</v>
      </c>
      <c r="I515" s="22">
        <f t="shared" si="50"/>
        <v>1500.9635840000012</v>
      </c>
      <c r="J515" s="22">
        <f t="shared" si="51"/>
        <v>4783.7072302499628</v>
      </c>
      <c r="K515" s="22">
        <f t="shared" si="52"/>
        <v>40769.267181314222</v>
      </c>
    </row>
    <row r="516" spans="1:11" x14ac:dyDescent="0.2">
      <c r="A516" s="19">
        <v>46286</v>
      </c>
      <c r="B516" s="15">
        <v>4.7480000000000002</v>
      </c>
      <c r="C516" s="15">
        <v>4.952</v>
      </c>
      <c r="D516" s="16">
        <v>0.30000000000001137</v>
      </c>
      <c r="E516" s="16">
        <v>-4.4999999999999929</v>
      </c>
      <c r="F516" s="16">
        <f t="shared" ref="F516:F523" si="53">IF(ABS(D516-$N$2)&gt;$N$3,1,0)</f>
        <v>0</v>
      </c>
      <c r="G516" s="16">
        <f t="shared" ref="G516:G523" si="54">IF(ABS(E516-$O$2)&gt;$O$3,1,0)</f>
        <v>0</v>
      </c>
      <c r="H516" s="16">
        <f t="shared" ref="H516:H523" si="55">IF(AND(F516=1,G516=1),1,0)</f>
        <v>0</v>
      </c>
      <c r="I516" s="22">
        <f t="shared" ref="I516:I523" si="56">(1000000/100)*($N$11*D516/100-0.5*$N$19*(D516/100)^2)</f>
        <v>56.33798004000213</v>
      </c>
      <c r="J516" s="22">
        <f t="shared" ref="J516:J523" si="57">(1000000/100)*($O$11*E516/100-0.5*$O$19*(E516/100)^2)</f>
        <v>-3328.8941677499943</v>
      </c>
      <c r="K516" s="22">
        <f t="shared" ref="K516:K523" si="58">($N$16/1000000)*I516+($O$16/1000000)*J516</f>
        <v>-11858.120316403129</v>
      </c>
    </row>
    <row r="517" spans="1:11" x14ac:dyDescent="0.2">
      <c r="A517" s="19">
        <v>46287</v>
      </c>
      <c r="B517" s="15">
        <v>4.7560000000000002</v>
      </c>
      <c r="C517" s="15">
        <v>4.9630000000000001</v>
      </c>
      <c r="D517" s="16">
        <v>0.80000000000000071</v>
      </c>
      <c r="E517" s="16">
        <v>1.1000000000000121</v>
      </c>
      <c r="F517" s="16">
        <f t="shared" si="53"/>
        <v>0</v>
      </c>
      <c r="G517" s="16">
        <f t="shared" si="54"/>
        <v>0</v>
      </c>
      <c r="H517" s="16">
        <f t="shared" si="55"/>
        <v>0</v>
      </c>
      <c r="I517" s="22">
        <f t="shared" si="56"/>
        <v>150.22563584000014</v>
      </c>
      <c r="J517" s="22">
        <f t="shared" si="57"/>
        <v>811.60207689000902</v>
      </c>
      <c r="K517" s="22">
        <f t="shared" si="58"/>
        <v>5350.4897267075012</v>
      </c>
    </row>
    <row r="518" spans="1:11" x14ac:dyDescent="0.2">
      <c r="A518" s="19">
        <v>46288</v>
      </c>
      <c r="B518" s="15">
        <v>4.8979999999999997</v>
      </c>
      <c r="C518" s="15">
        <v>5.1150000000000002</v>
      </c>
      <c r="D518" s="16">
        <v>14.199999999999946</v>
      </c>
      <c r="E518" s="16">
        <v>15.200000000000014</v>
      </c>
      <c r="F518" s="16">
        <f t="shared" si="53"/>
        <v>1</v>
      </c>
      <c r="G518" s="16">
        <f t="shared" si="54"/>
        <v>1</v>
      </c>
      <c r="H518" s="16">
        <f t="shared" si="55"/>
        <v>1</v>
      </c>
      <c r="I518" s="22">
        <f t="shared" si="56"/>
        <v>2662.2343918399897</v>
      </c>
      <c r="J518" s="22">
        <f t="shared" si="57"/>
        <v>11140.84086336001</v>
      </c>
      <c r="K518" s="22">
        <f t="shared" si="58"/>
        <v>82447.399258912686</v>
      </c>
    </row>
    <row r="519" spans="1:11" x14ac:dyDescent="0.2">
      <c r="A519" s="19">
        <v>46289</v>
      </c>
      <c r="B519" s="15">
        <v>4.9260000000000002</v>
      </c>
      <c r="C519" s="15">
        <v>5.2</v>
      </c>
      <c r="D519" s="16">
        <v>2.8000000000000469</v>
      </c>
      <c r="E519" s="16">
        <v>8.4999999999999964</v>
      </c>
      <c r="F519" s="16">
        <f t="shared" si="53"/>
        <v>0</v>
      </c>
      <c r="G519" s="16">
        <f t="shared" si="54"/>
        <v>1</v>
      </c>
      <c r="H519" s="16">
        <f t="shared" si="55"/>
        <v>0</v>
      </c>
      <c r="I519" s="22">
        <f t="shared" si="56"/>
        <v>525.66403904000879</v>
      </c>
      <c r="J519" s="22">
        <f t="shared" si="57"/>
        <v>6249.7455002499983</v>
      </c>
      <c r="K519" s="22">
        <f t="shared" si="58"/>
        <v>31734.233240983827</v>
      </c>
    </row>
    <row r="520" spans="1:11" x14ac:dyDescent="0.2">
      <c r="A520" s="19">
        <v>46290</v>
      </c>
      <c r="B520" s="15">
        <v>4.8540000000000001</v>
      </c>
      <c r="C520" s="15">
        <v>5.1630000000000003</v>
      </c>
      <c r="D520" s="16">
        <v>-7.2000000000000064</v>
      </c>
      <c r="E520" s="16">
        <v>-3.6999999999999922</v>
      </c>
      <c r="F520" s="16">
        <f t="shared" si="53"/>
        <v>1</v>
      </c>
      <c r="G520" s="16">
        <f t="shared" si="54"/>
        <v>0</v>
      </c>
      <c r="H520" s="16">
        <f t="shared" si="55"/>
        <v>0</v>
      </c>
      <c r="I520" s="22">
        <f t="shared" si="56"/>
        <v>-1353.3234969600012</v>
      </c>
      <c r="J520" s="22">
        <f t="shared" si="57"/>
        <v>-2736.0684027899947</v>
      </c>
      <c r="K520" s="22">
        <f t="shared" si="58"/>
        <v>-30740.796223919679</v>
      </c>
    </row>
    <row r="521" spans="1:11" x14ac:dyDescent="0.2">
      <c r="A521" s="19">
        <v>46293</v>
      </c>
      <c r="B521" s="15">
        <v>4.9320000000000004</v>
      </c>
      <c r="C521" s="15">
        <v>5.2370000000000001</v>
      </c>
      <c r="D521" s="16">
        <v>7.8000000000000291</v>
      </c>
      <c r="E521" s="16">
        <v>7.3999999999999844</v>
      </c>
      <c r="F521" s="16">
        <f t="shared" si="53"/>
        <v>1</v>
      </c>
      <c r="G521" s="16">
        <f t="shared" si="54"/>
        <v>1</v>
      </c>
      <c r="H521" s="16">
        <f t="shared" si="55"/>
        <v>1</v>
      </c>
      <c r="I521" s="22">
        <f t="shared" si="56"/>
        <v>1463.4745070400054</v>
      </c>
      <c r="J521" s="22">
        <f t="shared" si="57"/>
        <v>5443.7663888399893</v>
      </c>
      <c r="K521" s="22">
        <f t="shared" si="58"/>
        <v>42725.742527521303</v>
      </c>
    </row>
    <row r="522" spans="1:11" x14ac:dyDescent="0.2">
      <c r="A522" s="19">
        <v>46294</v>
      </c>
      <c r="B522" s="15">
        <v>4.8780000000000001</v>
      </c>
      <c r="C522" s="15">
        <v>5.2370000000000001</v>
      </c>
      <c r="D522" s="16">
        <v>-5.400000000000027</v>
      </c>
      <c r="E522" s="16">
        <v>0</v>
      </c>
      <c r="F522" s="16">
        <f t="shared" si="53"/>
        <v>1</v>
      </c>
      <c r="G522" s="16">
        <f t="shared" si="54"/>
        <v>0</v>
      </c>
      <c r="H522" s="16">
        <f t="shared" si="55"/>
        <v>0</v>
      </c>
      <c r="I522" s="22">
        <f t="shared" si="56"/>
        <v>-1014.7744670400048</v>
      </c>
      <c r="J522" s="22">
        <f t="shared" si="57"/>
        <v>0</v>
      </c>
      <c r="K522" s="22">
        <f t="shared" si="58"/>
        <v>-15221.617005600072</v>
      </c>
    </row>
    <row r="523" spans="1:11" x14ac:dyDescent="0.2">
      <c r="A523" s="19">
        <v>46295</v>
      </c>
      <c r="B523" s="15">
        <v>4.8890000000000002</v>
      </c>
      <c r="C523" s="15">
        <v>5.2869999999999999</v>
      </c>
      <c r="D523" s="16">
        <v>1.1000000000000121</v>
      </c>
      <c r="E523" s="16">
        <v>4.9999999999999822</v>
      </c>
      <c r="F523" s="16">
        <f t="shared" si="53"/>
        <v>0</v>
      </c>
      <c r="G523" s="16">
        <f t="shared" si="54"/>
        <v>0</v>
      </c>
      <c r="H523" s="16">
        <f t="shared" si="55"/>
        <v>0</v>
      </c>
      <c r="I523" s="22">
        <f t="shared" si="56"/>
        <v>206.55284276000225</v>
      </c>
      <c r="J523" s="22">
        <f t="shared" si="57"/>
        <v>3682.3652249999873</v>
      </c>
      <c r="K523" s="22">
        <f t="shared" si="58"/>
        <v>17150.34200312445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 User</dc:creator>
  <cp:lastModifiedBy>Isha Patro</cp:lastModifiedBy>
  <dcterms:created xsi:type="dcterms:W3CDTF">2026-09-30T23:44:11Z</dcterms:created>
  <dcterms:modified xsi:type="dcterms:W3CDTF">2026-10-09T20:24:54Z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</Properties>
</file>